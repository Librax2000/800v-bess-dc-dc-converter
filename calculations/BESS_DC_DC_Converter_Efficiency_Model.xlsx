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ine\Desktop\Word for Hackathon\"/>
    </mc:Choice>
  </mc:AlternateContent>
  <xr:revisionPtr revIDLastSave="0" documentId="8_{6979E59F-77BD-460C-A2D3-CAD782297788}" xr6:coauthVersionLast="47" xr6:coauthVersionMax="47" xr10:uidLastSave="{00000000-0000-0000-0000-000000000000}"/>
  <bookViews>
    <workbookView xWindow="-108" yWindow="-108" windowWidth="23256" windowHeight="12456" xr2:uid="{66BDF9AC-B571-499F-BDD4-D641B197A8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C19" i="1"/>
  <c r="C11" i="1"/>
  <c r="C10" i="1"/>
  <c r="C9" i="1"/>
  <c r="C8" i="1"/>
  <c r="H3" i="1"/>
  <c r="H4" i="1"/>
  <c r="H5" i="1"/>
  <c r="H6" i="1"/>
</calcChain>
</file>

<file path=xl/sharedStrings.xml><?xml version="1.0" encoding="utf-8"?>
<sst xmlns="http://schemas.openxmlformats.org/spreadsheetml/2006/main" count="41" uniqueCount="30">
  <si>
    <t>SECTION</t>
  </si>
  <si>
    <t>Parameter</t>
  </si>
  <si>
    <t>Value</t>
  </si>
  <si>
    <t>Unit</t>
  </si>
  <si>
    <t>Total Power</t>
  </si>
  <si>
    <t>W</t>
  </si>
  <si>
    <t>Bus Voltage</t>
  </si>
  <si>
    <t>V</t>
  </si>
  <si>
    <t>Battery Voltage</t>
  </si>
  <si>
    <t>Modules</t>
  </si>
  <si>
    <t>CURRENTS</t>
  </si>
  <si>
    <t>Bus Current</t>
  </si>
  <si>
    <t>Battery Current</t>
  </si>
  <si>
    <t>Module Power</t>
  </si>
  <si>
    <t>Module Current</t>
  </si>
  <si>
    <t>LOSSES</t>
  </si>
  <si>
    <t>Conduction Loss</t>
  </si>
  <si>
    <t>Switching Loss</t>
  </si>
  <si>
    <t>Transformer Copper Loss</t>
  </si>
  <si>
    <t>Transformer Core Loss</t>
  </si>
  <si>
    <t>Filter Loss</t>
  </si>
  <si>
    <t>Aux Loss</t>
  </si>
  <si>
    <t>Total Loss</t>
  </si>
  <si>
    <t>Load %</t>
  </si>
  <si>
    <t>Power (W)</t>
  </si>
  <si>
    <t>Loss (W)</t>
  </si>
  <si>
    <t>Efficiency</t>
  </si>
  <si>
    <t>Power and Current Calculations</t>
  </si>
  <si>
    <t>Efficiency vs Load Analysis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</si>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</sst>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9" fontId="0" fillId="0" borderId="0" xfId="0" applyNumberFormat="1"/>
    <xf numFmtId="0" fontId="0" fillId="0" borderId="1" xfId="0" applyBorder="1"/>
    <xf numFmtId="0" fontId="2" fillId="0" borderId="0" xfId="0" applyFont="1" applyAlignment="1">
      <alignment vertical="center"/>
    </xf>
    <xf numFmtId="9" fontId="0" fillId="0" borderId="1" xfId="0" applyNumberFormat="1" applyBorder="1"/>
    <xf numFmtId="0" fontId="2" fillId="0" borderId="1" xfId="0" applyFont="1" applyBorder="1" applyAlignment="1">
      <alignment vertical="center"/>
    </xf>
    <xf numFmtId="172" fontId="2" fillId="0" borderId="1" xfId="0" applyNumberFormat="1" applyFont="1" applyBorder="1" applyAlignment="1">
      <alignment vertical="center"/>
    </xf>
    <xf numFmtId="172" fontId="0" fillId="0" borderId="1" xfId="0" applyNumberFormat="1" applyBorder="1"/>
    <xf numFmtId="0" fontId="0" fillId="0" borderId="1" xfId="0" applyFont="1" applyBorder="1"/>
    <xf numFmtId="0" fontId="1" fillId="0" borderId="1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Converter Efficiency vs Load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70949256342957"/>
          <c:y val="0.15319444444444447"/>
          <c:w val="0.79957174103237094"/>
          <c:h val="0.6230865412656750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Sheet1!$G$3:$G$6</c:f>
              <c:numCache>
                <c:formatCode>0%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cat>
          <c:val>
            <c:numRef>
              <c:f>Sheet1!$J$3:$J$6</c:f>
              <c:numCache>
                <c:formatCode>0.0000</c:formatCode>
                <c:ptCount val="4"/>
                <c:pt idx="0">
                  <c:v>0.9873617693522907</c:v>
                </c:pt>
                <c:pt idx="1">
                  <c:v>0.99206349206349209</c:v>
                </c:pt>
                <c:pt idx="2">
                  <c:v>0.99390405512854496</c:v>
                </c:pt>
                <c:pt idx="3">
                  <c:v>0.99502487562189057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30-470A-9C67-EB2563E9E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4303599"/>
        <c:axId val="1184304079"/>
      </c:lineChart>
      <c:catAx>
        <c:axId val="1184303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95000"/>
                <a:lumOff val="5000"/>
                <a:alpha val="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304079"/>
        <c:crosses val="autoZero"/>
        <c:auto val="1"/>
        <c:lblAlgn val="ctr"/>
        <c:lblOffset val="100"/>
        <c:noMultiLvlLbl val="0"/>
      </c:catAx>
      <c:valAx>
        <c:axId val="1184304079"/>
        <c:scaling>
          <c:orientation val="minMax"/>
          <c:max val="1"/>
          <c:min val="0.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303599"/>
        <c:crosses val="autoZero"/>
        <c:crossBetween val="between"/>
      </c:valAx>
      <c:spPr>
        <a:solidFill>
          <a:schemeClr val="tx2">
            <a:lumMod val="10000"/>
            <a:lumOff val="90000"/>
          </a:schemeClr>
        </a:solidFill>
        <a:ln w="12700">
          <a:solidFill>
            <a:schemeClr val="tx1">
              <a:alpha val="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5000"/>
        <a:lumOff val="75000"/>
      </a:schemeClr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11430</xdr:rowOff>
    </xdr:from>
    <xdr:to>
      <xdr:col>12</xdr:col>
      <xdr:colOff>190500</xdr:colOff>
      <xdr:row>23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FF5067-E13C-1CED-7539-9F4D5AB2F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D84C2-19CC-4382-9582-DA72628DCEA3}">
  <dimension ref="A1:J26"/>
  <sheetViews>
    <sheetView tabSelected="1" workbookViewId="0">
      <selection activeCell="M7" sqref="M7"/>
    </sheetView>
  </sheetViews>
  <sheetFormatPr defaultRowHeight="14.4"/>
  <cols>
    <col min="1" max="1" width="13.44140625" customWidth="1"/>
    <col min="2" max="2" width="23.33203125" customWidth="1"/>
    <col min="3" max="3" width="11.5546875" customWidth="1"/>
    <col min="8" max="8" width="10.109375" customWidth="1"/>
    <col min="10" max="10" width="10.5546875" bestFit="1" customWidth="1"/>
  </cols>
  <sheetData>
    <row r="1" spans="1:10" ht="18">
      <c r="A1" s="13" t="s">
        <v>27</v>
      </c>
      <c r="B1" s="13"/>
      <c r="C1" s="13"/>
      <c r="D1" s="13"/>
      <c r="G1" s="14" t="s">
        <v>28</v>
      </c>
      <c r="H1" s="14"/>
      <c r="I1" s="14"/>
      <c r="J1" s="14"/>
    </row>
    <row r="2" spans="1:10">
      <c r="A2" s="10" t="s">
        <v>0</v>
      </c>
      <c r="B2" s="9" t="s">
        <v>1</v>
      </c>
      <c r="C2" s="9" t="s">
        <v>2</v>
      </c>
      <c r="D2" s="9" t="s">
        <v>3</v>
      </c>
      <c r="G2" s="9" t="s">
        <v>23</v>
      </c>
      <c r="H2" s="9" t="s">
        <v>24</v>
      </c>
      <c r="I2" s="9" t="s">
        <v>25</v>
      </c>
      <c r="J2" s="9" t="s">
        <v>26</v>
      </c>
    </row>
    <row r="3" spans="1:10">
      <c r="A3" s="11"/>
      <c r="B3" s="9" t="s">
        <v>4</v>
      </c>
      <c r="C3" s="2">
        <v>2500000</v>
      </c>
      <c r="D3" s="2" t="s">
        <v>5</v>
      </c>
      <c r="G3" s="4">
        <v>0.25</v>
      </c>
      <c r="H3" s="2">
        <f>2500000*0.25</f>
        <v>625000</v>
      </c>
      <c r="I3" s="2">
        <v>8000</v>
      </c>
      <c r="J3" s="6">
        <f>H3/(H3+I3)</f>
        <v>0.9873617693522907</v>
      </c>
    </row>
    <row r="4" spans="1:10">
      <c r="A4" s="11"/>
      <c r="B4" s="9" t="s">
        <v>6</v>
      </c>
      <c r="C4" s="2">
        <v>800</v>
      </c>
      <c r="D4" s="2" t="s">
        <v>7</v>
      </c>
      <c r="G4" s="4">
        <v>0.5</v>
      </c>
      <c r="H4" s="2">
        <f>2500000*0.5</f>
        <v>1250000</v>
      </c>
      <c r="I4" s="2">
        <v>10000</v>
      </c>
      <c r="J4" s="6">
        <f>H4/(H4+I4)</f>
        <v>0.99206349206349209</v>
      </c>
    </row>
    <row r="5" spans="1:10">
      <c r="A5" s="11"/>
      <c r="B5" s="9" t="s">
        <v>8</v>
      </c>
      <c r="C5" s="2">
        <v>1000</v>
      </c>
      <c r="D5" s="2" t="s">
        <v>7</v>
      </c>
      <c r="G5" s="4">
        <v>0.75</v>
      </c>
      <c r="H5" s="2">
        <f>2500000*0.75</f>
        <v>1875000</v>
      </c>
      <c r="I5" s="2">
        <v>11500</v>
      </c>
      <c r="J5" s="6">
        <f>H5/(H5+I5)</f>
        <v>0.99390405512854496</v>
      </c>
    </row>
    <row r="6" spans="1:10">
      <c r="A6" s="12"/>
      <c r="B6" s="9" t="s">
        <v>9</v>
      </c>
      <c r="C6" s="2">
        <v>5</v>
      </c>
      <c r="D6" s="2"/>
      <c r="G6" s="4">
        <v>1</v>
      </c>
      <c r="H6" s="2">
        <f>2500000</f>
        <v>2500000</v>
      </c>
      <c r="I6" s="2">
        <v>12500</v>
      </c>
      <c r="J6" s="7">
        <f>H6/(H6+I6)</f>
        <v>0.99502487562189057</v>
      </c>
    </row>
    <row r="7" spans="1:10">
      <c r="A7" s="8"/>
      <c r="B7" s="2"/>
      <c r="C7" s="2"/>
      <c r="D7" s="2"/>
      <c r="J7" s="3"/>
    </row>
    <row r="8" spans="1:10">
      <c r="A8" s="10" t="s">
        <v>10</v>
      </c>
      <c r="B8" s="9" t="s">
        <v>11</v>
      </c>
      <c r="C8" s="2">
        <f>C3/C4</f>
        <v>3125</v>
      </c>
      <c r="D8" s="2" t="s">
        <v>29</v>
      </c>
    </row>
    <row r="9" spans="1:10">
      <c r="A9" s="11"/>
      <c r="B9" s="9" t="s">
        <v>12</v>
      </c>
      <c r="C9" s="3">
        <f>C3/C5</f>
        <v>2500</v>
      </c>
      <c r="D9" s="2" t="s">
        <v>29</v>
      </c>
    </row>
    <row r="10" spans="1:10">
      <c r="A10" s="11"/>
      <c r="B10" s="9" t="s">
        <v>13</v>
      </c>
      <c r="C10" s="5">
        <f>C3/C6</f>
        <v>500000</v>
      </c>
      <c r="D10" s="2" t="s">
        <v>5</v>
      </c>
    </row>
    <row r="11" spans="1:10">
      <c r="A11" s="12"/>
      <c r="B11" s="9" t="s">
        <v>14</v>
      </c>
      <c r="C11" s="3">
        <f>C10/C4</f>
        <v>625</v>
      </c>
      <c r="D11" s="2" t="s">
        <v>29</v>
      </c>
    </row>
    <row r="12" spans="1:10">
      <c r="A12" s="8"/>
      <c r="B12" s="2"/>
      <c r="C12" s="2"/>
      <c r="D12" s="2"/>
    </row>
    <row r="13" spans="1:10">
      <c r="A13" s="10" t="s">
        <v>15</v>
      </c>
      <c r="B13" s="9" t="s">
        <v>16</v>
      </c>
      <c r="C13" s="2">
        <v>4000</v>
      </c>
      <c r="D13" s="2" t="s">
        <v>5</v>
      </c>
    </row>
    <row r="14" spans="1:10">
      <c r="A14" s="11"/>
      <c r="B14" s="9" t="s">
        <v>17</v>
      </c>
      <c r="C14" s="2">
        <v>2500</v>
      </c>
      <c r="D14" s="2" t="s">
        <v>5</v>
      </c>
    </row>
    <row r="15" spans="1:10">
      <c r="A15" s="11"/>
      <c r="B15" s="9" t="s">
        <v>18</v>
      </c>
      <c r="C15" s="2">
        <v>2000</v>
      </c>
      <c r="D15" s="2" t="s">
        <v>5</v>
      </c>
    </row>
    <row r="16" spans="1:10">
      <c r="A16" s="11"/>
      <c r="B16" s="9" t="s">
        <v>19</v>
      </c>
      <c r="C16" s="2">
        <v>1200</v>
      </c>
      <c r="D16" s="2" t="s">
        <v>5</v>
      </c>
    </row>
    <row r="17" spans="1:4">
      <c r="A17" s="11"/>
      <c r="B17" s="9" t="s">
        <v>20</v>
      </c>
      <c r="C17" s="2">
        <v>1000</v>
      </c>
      <c r="D17" s="2" t="s">
        <v>5</v>
      </c>
    </row>
    <row r="18" spans="1:4">
      <c r="A18" s="11"/>
      <c r="B18" s="9" t="s">
        <v>21</v>
      </c>
      <c r="C18" s="2">
        <v>1800</v>
      </c>
      <c r="D18" s="2" t="s">
        <v>5</v>
      </c>
    </row>
    <row r="19" spans="1:4">
      <c r="A19" s="12"/>
      <c r="B19" s="9" t="s">
        <v>22</v>
      </c>
      <c r="C19" s="5">
        <f>SUM(C13:C18)</f>
        <v>12500</v>
      </c>
      <c r="D19" s="2" t="s">
        <v>5</v>
      </c>
    </row>
    <row r="23" spans="1:4">
      <c r="A23" s="1"/>
    </row>
    <row r="24" spans="1:4">
      <c r="A24" s="1"/>
    </row>
    <row r="25" spans="1:4">
      <c r="A25" s="1"/>
    </row>
    <row r="26" spans="1:4">
      <c r="A26" s="1"/>
    </row>
  </sheetData>
  <mergeCells count="5">
    <mergeCell ref="A1:D1"/>
    <mergeCell ref="G1:J1"/>
    <mergeCell ref="A13:A19"/>
    <mergeCell ref="A8:A11"/>
    <mergeCell ref="A2:A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AE384354536C4787A8543A0DFBB11B" ma:contentTypeVersion="6" ma:contentTypeDescription="Create a new document." ma:contentTypeScope="" ma:versionID="3bc2b737abf995cd71d95abe1e4782a1">
  <xsd:schema xmlns:xsd="http://www.w3.org/2001/XMLSchema" xmlns:xs="http://www.w3.org/2001/XMLSchema" xmlns:p="http://schemas.microsoft.com/office/2006/metadata/properties" xmlns:ns3="301349ed-c51a-435a-8255-5a878db350e9" targetNamespace="http://schemas.microsoft.com/office/2006/metadata/properties" ma:root="true" ma:fieldsID="fa0a8f3fca150e90200a4a989577875e" ns3:_="">
    <xsd:import namespace="301349ed-c51a-435a-8255-5a878db350e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349ed-c51a-435a-8255-5a878db350e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1349ed-c51a-435a-8255-5a878db350e9" xsi:nil="true"/>
  </documentManagement>
</p:properties>
</file>

<file path=customXml/itemProps1.xml><?xml version="1.0" encoding="utf-8"?>
<ds:datastoreItem xmlns:ds="http://schemas.openxmlformats.org/officeDocument/2006/customXml" ds:itemID="{7C257039-E6E8-469A-848D-7A21CC3178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349ed-c51a-435a-8255-5a878db350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641656-DAF8-409B-892B-012B16E2B7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BFD1E0-67B7-469A-BD7D-D863E2DCDC15}">
  <ds:schemaRefs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301349ed-c51a-435a-8255-5a878db350e9"/>
    <ds:schemaRef ds:uri="http://schemas.microsoft.com/office/2006/documentManagement/typ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Reinert Webb (Student)</dc:creator>
  <cp:lastModifiedBy>Reinert Webb (Student)</cp:lastModifiedBy>
  <cp:lastPrinted>2026-04-18T19:42:10Z</cp:lastPrinted>
  <dcterms:created xsi:type="dcterms:W3CDTF">2026-04-18T18:35:03Z</dcterms:created>
  <dcterms:modified xsi:type="dcterms:W3CDTF">2026-04-18T19:47:53Z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0x01010012AE384354536C4787A8543A0DFBB11B</vt:lpwstr>
  </property>
</Properties>
</file>