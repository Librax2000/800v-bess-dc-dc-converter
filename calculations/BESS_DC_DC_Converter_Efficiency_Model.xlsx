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ine\Downloads\"/>
    </mc:Choice>
  </mc:AlternateContent>
  <xr:revisionPtr revIDLastSave="0" documentId="8_{820F9BD2-D177-49AF-A6F9-02200529832E}" xr6:coauthVersionLast="47" xr6:coauthVersionMax="47" xr10:uidLastSave="{00000000-0000-0000-0000-000000000000}"/>
  <bookViews>
    <workbookView xWindow="-108" yWindow="-108" windowWidth="23256" windowHeight="12456" activeTab="10" xr2:uid="{66BDF9AC-B571-499F-BDD4-D641B197A894}"/>
  </bookViews>
  <sheets>
    <sheet name="Sheet1" sheetId="1" r:id="rId1"/>
    <sheet name="Assumptions" sheetId="2" r:id="rId2"/>
    <sheet name="Power_Current" sheetId="3" r:id="rId3"/>
    <sheet name="Loss_Breakdown" sheetId="4" r:id="rId4"/>
    <sheet name="Efficiency" sheetId="5" r:id="rId5"/>
    <sheet name="Magnetics" sheetId="6" r:id="rId6"/>
    <sheet name="Semiconductors" sheetId="7" r:id="rId7"/>
    <sheet name="Thermal_Constraints" sheetId="8" r:id="rId8"/>
    <sheet name="Control_Modes" sheetId="9" r:id="rId9"/>
    <sheet name="Requirement_Check" sheetId="10" r:id="rId10"/>
    <sheet name="Fault_Handling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5" i="4" l="1"/>
  <c r="I4" i="4"/>
  <c r="I3" i="4"/>
  <c r="L3" i="4"/>
  <c r="L2" i="4"/>
  <c r="L4" i="4"/>
  <c r="L5" i="4"/>
  <c r="I2" i="4"/>
  <c r="B9" i="3"/>
  <c r="B8" i="3"/>
  <c r="B7" i="3"/>
  <c r="B6" i="3"/>
  <c r="J3" i="1"/>
  <c r="J4" i="1"/>
  <c r="J5" i="1"/>
  <c r="J6" i="1"/>
  <c r="C19" i="1"/>
  <c r="C11" i="1"/>
  <c r="C10" i="1"/>
  <c r="C9" i="1"/>
  <c r="C8" i="1"/>
  <c r="H3" i="1"/>
  <c r="H4" i="1"/>
  <c r="H5" i="1"/>
  <c r="H6" i="1"/>
</calcChain>
</file>

<file path=xl/sharedStrings.xml><?xml version="1.0" encoding="utf-8"?>
<sst xmlns="http://schemas.openxmlformats.org/spreadsheetml/2006/main" count="377" uniqueCount="241">
  <si>
    <t>SECTION</t>
  </si>
  <si>
    <t>Parameter</t>
  </si>
  <si>
    <t>Value</t>
  </si>
  <si>
    <t>Unit</t>
  </si>
  <si>
    <t>Total Power</t>
  </si>
  <si>
    <t>W</t>
  </si>
  <si>
    <t>Bus Voltage</t>
  </si>
  <si>
    <t>V</t>
  </si>
  <si>
    <t>Battery Voltage</t>
  </si>
  <si>
    <t>Modules</t>
  </si>
  <si>
    <t>CURRENTS</t>
  </si>
  <si>
    <t>Bus Current</t>
  </si>
  <si>
    <t>Battery Current</t>
  </si>
  <si>
    <t>Module Power</t>
  </si>
  <si>
    <t>Module Current</t>
  </si>
  <si>
    <t>LOSSES</t>
  </si>
  <si>
    <t>Conduction Loss</t>
  </si>
  <si>
    <t>Switching Loss</t>
  </si>
  <si>
    <t>Transformer Copper Loss</t>
  </si>
  <si>
    <t>Transformer Core Loss</t>
  </si>
  <si>
    <t>Filter Loss</t>
  </si>
  <si>
    <t>Aux Loss</t>
  </si>
  <si>
    <t>Total Loss</t>
  </si>
  <si>
    <t>Load %</t>
  </si>
  <si>
    <t>Power (W)</t>
  </si>
  <si>
    <t>Loss (W)</t>
  </si>
  <si>
    <t>Efficiency</t>
  </si>
  <si>
    <t>Power and Current Calculations</t>
  </si>
  <si>
    <t>Efficiency vs Load Analysis</t>
  </si>
  <si>
    <t>A</t>
  </si>
  <si>
    <t>Category</t>
  </si>
  <si>
    <t>Bus</t>
  </si>
  <si>
    <t>HVDC Bus Nominal Voltage</t>
  </si>
  <si>
    <t>HVDC Bus Operating Min</t>
  </si>
  <si>
    <t>HVDC Bus Operating Max</t>
  </si>
  <si>
    <t>Battery</t>
  </si>
  <si>
    <t>Battery Nominal Voltage</t>
  </si>
  <si>
    <t>Battery Operating Min</t>
  </si>
  <si>
    <t>Battery Operating Max</t>
  </si>
  <si>
    <t>Battery Energy Capacity</t>
  </si>
  <si>
    <t>MWh</t>
  </si>
  <si>
    <t>Power</t>
  </si>
  <si>
    <t>Total Rated Power</t>
  </si>
  <si>
    <t>Module Count</t>
  </si>
  <si>
    <t>-</t>
  </si>
  <si>
    <t>Topology</t>
  </si>
  <si>
    <t>Converter Topology</t>
  </si>
  <si>
    <t>Dual Active Bridge</t>
  </si>
  <si>
    <t>Isolation Method</t>
  </si>
  <si>
    <t>High-Frequency Transformer</t>
  </si>
  <si>
    <t>Devices</t>
  </si>
  <si>
    <t>Semiconductor Technology</t>
  </si>
  <si>
    <t>SiC MOSFET</t>
  </si>
  <si>
    <t>Switching</t>
  </si>
  <si>
    <t>Switching Frequency</t>
  </si>
  <si>
    <t>Hz</t>
  </si>
  <si>
    <t>Cooling</t>
  </si>
  <si>
    <t>Cooling Method</t>
  </si>
  <si>
    <t>Liquid Cooling</t>
  </si>
  <si>
    <t>Environment</t>
  </si>
  <si>
    <t>Ambient Temperature</t>
  </si>
  <si>
    <t>C</t>
  </si>
  <si>
    <t>Target</t>
  </si>
  <si>
    <t>Efficiency at 100% load</t>
  </si>
  <si>
    <t>&gt;=99.5%</t>
  </si>
  <si>
    <t>%</t>
  </si>
  <si>
    <t>Efficiency at 50-100% load</t>
  </si>
  <si>
    <t>&gt;=99.0%</t>
  </si>
  <si>
    <t>Efficiency at 25-50% load</t>
  </si>
  <si>
    <t>&gt;=98.5%</t>
  </si>
  <si>
    <t>Max Junction Temperature</t>
  </si>
  <si>
    <t>&lt;=125</t>
  </si>
  <si>
    <t>Max Magnetics Hotspot</t>
  </si>
  <si>
    <t>&lt;=120</t>
  </si>
  <si>
    <t>Isolation Rating</t>
  </si>
  <si>
    <t>&gt;=1.5</t>
  </si>
  <si>
    <t>kV DC</t>
  </si>
  <si>
    <t>Constraints</t>
  </si>
  <si>
    <t>Formula / Source</t>
  </si>
  <si>
    <t>From Assumptions</t>
  </si>
  <si>
    <t>Bus Nominal Voltage</t>
  </si>
  <si>
    <t>Module Bus Current</t>
  </si>
  <si>
    <t>Operating Point</t>
  </si>
  <si>
    <t>Comment</t>
  </si>
  <si>
    <t>Minimum Bus / Minimum Battery</t>
  </si>
  <si>
    <t>Low-voltage edge case</t>
  </si>
  <si>
    <t>Nominal Bus / Nominal Battery</t>
  </si>
  <si>
    <t>Nominal operating point</t>
  </si>
  <si>
    <t>Maximum Bus / Maximum Battery</t>
  </si>
  <si>
    <t>High-voltage edge case</t>
  </si>
  <si>
    <t>Conduction Loss (W)</t>
  </si>
  <si>
    <t>Switching Loss (W)</t>
  </si>
  <si>
    <t>Copper Loss (W)</t>
  </si>
  <si>
    <t>Core Loss (W)</t>
  </si>
  <si>
    <t>Filter Loss (W)</t>
  </si>
  <si>
    <t>Aux Loss (W)</t>
  </si>
  <si>
    <t>Total Loss (W)</t>
  </si>
  <si>
    <t>Requirement</t>
  </si>
  <si>
    <t>Result</t>
  </si>
  <si>
    <t>Status</t>
  </si>
  <si>
    <t>25-50% &gt;= 98.5%</t>
  </si>
  <si>
    <t>Pass</t>
  </si>
  <si>
    <t>50-100% &gt;= 99.0%</t>
  </si>
  <si>
    <t>99.21%-99.50%</t>
  </si>
  <si>
    <t>100% &gt;= 99.5%</t>
  </si>
  <si>
    <t>Selected Value</t>
  </si>
  <si>
    <t>Notes</t>
  </si>
  <si>
    <t>Transformer Type</t>
  </si>
  <si>
    <t>High-Frequency Isolation Transformer</t>
  </si>
  <si>
    <t>Used in DAB topology</t>
  </si>
  <si>
    <t>Core Material</t>
  </si>
  <si>
    <t>Nanocrystalline</t>
  </si>
  <si>
    <t>Chosen for high efficiency at power scale</t>
  </si>
  <si>
    <t>Tradeoff between size and switching loss</t>
  </si>
  <si>
    <t>Function</t>
  </si>
  <si>
    <t>Galvanic Isolation + Voltage Matching</t>
  </si>
  <si>
    <t>Required by challenge</t>
  </si>
  <si>
    <t>Estimated Copper Loss</t>
  </si>
  <si>
    <t>From loss budget</t>
  </si>
  <si>
    <t>Estimated Core Loss</t>
  </si>
  <si>
    <t>Total Magnetics Loss</t>
  </si>
  <si>
    <t>Copper + core</t>
  </si>
  <si>
    <t>Turns Ratio (Assumed)</t>
  </si>
  <si>
    <t>Supports 800V to ~1000V nominal conversion</t>
  </si>
  <si>
    <t>Design Note</t>
  </si>
  <si>
    <t>Magnetics losses include copper losses in the windings and core losses due to hysteresis and eddy currents. A nanocrystalline core is assumed to support high-power, high-efficiency operation.</t>
  </si>
  <si>
    <t>Reason</t>
  </si>
  <si>
    <t>Estimated Impact</t>
  </si>
  <si>
    <t>Device Type</t>
  </si>
  <si>
    <t>Lower switching loss than silicon</t>
  </si>
  <si>
    <t>Supports high efficiency</t>
  </si>
  <si>
    <t>Voltage Class</t>
  </si>
  <si>
    <t>Suitable for high-voltage modular converter</t>
  </si>
  <si>
    <t>Improves margin</t>
  </si>
  <si>
    <t>Topology Role</t>
  </si>
  <si>
    <t>Primary/Secondary Bridges</t>
  </si>
  <si>
    <t>Used in DAB switching stages</t>
  </si>
  <si>
    <t>Bidirectional switching</t>
  </si>
  <si>
    <t>Estimated Conduction Loss</t>
  </si>
  <si>
    <t>From system loss budget</t>
  </si>
  <si>
    <t>High-load loss component</t>
  </si>
  <si>
    <t>Estimated Switching Loss</t>
  </si>
  <si>
    <t>Depends on frequency</t>
  </si>
  <si>
    <t>Why Not Silicon IGBT</t>
  </si>
  <si>
    <t>Higher switching losses</t>
  </si>
  <si>
    <t>Less suitable for high-frequency operation</t>
  </si>
  <si>
    <t>Lower efficiency</t>
  </si>
  <si>
    <t>Selection Note</t>
  </si>
  <si>
    <t>SiC MOSFETs were selected for lower switching losses, higher voltage capability, and better efficiency at high power and switching frequency than conventional silicon devices.</t>
  </si>
  <si>
    <t>Challenge condition</t>
  </si>
  <si>
    <t>Semiconductor limit</t>
  </si>
  <si>
    <t>Transformer/core limit</t>
  </si>
  <si>
    <t>Assumed for MW-scale converter</t>
  </si>
  <si>
    <t>Full-Load Loss</t>
  </si>
  <si>
    <t>Must be removed thermally</t>
  </si>
  <si>
    <t>Per-Module Loss</t>
  </si>
  <si>
    <t>For 5 modules</t>
  </si>
  <si>
    <t>Thermal Design Goal</t>
  </si>
  <si>
    <t>Keep all components below limits</t>
  </si>
  <si>
    <t>Concept-level requirement</t>
  </si>
  <si>
    <t>Mode</t>
  </si>
  <si>
    <t>Purpose</t>
  </si>
  <si>
    <t>Where Used</t>
  </si>
  <si>
    <t>CC</t>
  </si>
  <si>
    <t>Constant Current</t>
  </si>
  <si>
    <t>Bulk battery charging</t>
  </si>
  <si>
    <t>Limits current during charge</t>
  </si>
  <si>
    <t>CV</t>
  </si>
  <si>
    <t>Constant Voltage</t>
  </si>
  <si>
    <t>End-of-charge battery control</t>
  </si>
  <si>
    <t>Prevents battery overvoltage</t>
  </si>
  <si>
    <t>CP</t>
  </si>
  <si>
    <t>Constant Power</t>
  </si>
  <si>
    <t>Data center bus support / dispatch</t>
  </si>
  <si>
    <t>Maintains set power exchange</t>
  </si>
  <si>
    <t>Phase Shift Control</t>
  </si>
  <si>
    <t>Power flow control in DAB</t>
  </si>
  <si>
    <t>Both directions</t>
  </si>
  <si>
    <t>Controls magnitude and direction of power</t>
  </si>
  <si>
    <t>Control Note</t>
  </si>
  <si>
    <t>The DAB converter uses phase-shift control to regulate bidirectional power transfer while supporting CC, CV, and CP operating modes required by the challenge.</t>
  </si>
  <si>
    <t>Our Design</t>
  </si>
  <si>
    <t>Bus Voltage Range</t>
  </si>
  <si>
    <t>720-880 V</t>
  </si>
  <si>
    <t>800 V nominal, 720-880 V supported</t>
  </si>
  <si>
    <t>Rated Power</t>
  </si>
  <si>
    <t>2.5 MW bidirectional</t>
  </si>
  <si>
    <t>5 x 500 kW = 2.5 MW</t>
  </si>
  <si>
    <t>Isolation</t>
  </si>
  <si>
    <t>Required</t>
  </si>
  <si>
    <t>HF transformer in DAB</t>
  </si>
  <si>
    <t>100% Load Efficiency</t>
  </si>
  <si>
    <t>50-100% Efficiency</t>
  </si>
  <si>
    <t>25-50% Efficiency</t>
  </si>
  <si>
    <t>98.74%-99.21%</t>
  </si>
  <si>
    <t>Control Modes</t>
  </si>
  <si>
    <t>CC/CV/CP</t>
  </si>
  <si>
    <t>Included</t>
  </si>
  <si>
    <t>Loss Budget</t>
  </si>
  <si>
    <t>Included by component</t>
  </si>
  <si>
    <t>Magnetics Design</t>
  </si>
  <si>
    <t>Semiconductor Selection</t>
  </si>
  <si>
    <t>Battery Architecture</t>
  </si>
  <si>
    <t>Series-connected HV battery stack</t>
  </si>
  <si>
    <t>Modular Architecture</t>
  </si>
  <si>
    <t>5 x 500 kW DAB modules</t>
  </si>
  <si>
    <t>Max Bus Current</t>
  </si>
  <si>
    <t>Meets challenge insulation target</t>
  </si>
  <si>
    <t>Soft-Switching Relevance</t>
  </si>
  <si>
    <t>Supports lower switching loss</t>
  </si>
  <si>
    <t>Useful for high-efficiency DAB operation</t>
  </si>
  <si>
    <t>Per-Module Power</t>
  </si>
  <si>
    <t>For 5-module architecture</t>
  </si>
  <si>
    <t>Ramp Rate Limit</t>
  </si>
  <si>
    <t>Protects battery health and bus stability</t>
  </si>
  <si>
    <t>Concept-level assumption</t>
  </si>
  <si>
    <t>Bidirectional Full-Range Operation</t>
  </si>
  <si>
    <t>Charge/discharge supported across design range</t>
  </si>
  <si>
    <t>Thermal Constraints</t>
  </si>
  <si>
    <t>Included in Thermal_Constraints tab</t>
  </si>
  <si>
    <t>Fault Handling Definition</t>
  </si>
  <si>
    <t>Concept-level protection strategy to be documented</t>
  </si>
  <si>
    <t>Pending</t>
  </si>
  <si>
    <t>Fault Condition</t>
  </si>
  <si>
    <t>Response Strategy</t>
  </si>
  <si>
    <t>Battery short circuit</t>
  </si>
  <si>
    <t>Isolate battery side and shut down converter</t>
  </si>
  <si>
    <t>Bus short upstream</t>
  </si>
  <si>
    <t>Disconnect converter from HVDC bus</t>
  </si>
  <si>
    <t>Battery overvoltage</t>
  </si>
  <si>
    <t>Block charging / enter CV limit</t>
  </si>
  <si>
    <t>Battery undervoltage</t>
  </si>
  <si>
    <t>Block discharge</t>
  </si>
  <si>
    <t>Bus overvoltage</t>
  </si>
  <si>
    <t>Reduce export / shut down if limit exceeded</t>
  </si>
  <si>
    <t>Bus undervoltage</t>
  </si>
  <si>
    <t>Limit charging / support bus if allowed</t>
  </si>
  <si>
    <t>Loss of BMS communication</t>
  </si>
  <si>
    <t>Enter safe shutdown state</t>
  </si>
  <si>
    <t>Overtemperature</t>
  </si>
  <si>
    <t>Reduce power or trip converter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</si>
</sst>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8" formatCode="0.00000%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72">
    <xf numFmtId="0" fontId="0" fillId="0" borderId="0" xfId="0"/>
    <xf numFmtId="9" fontId="0" fillId="0" borderId="0" xfId="0" applyNumberFormat="1"/>
    <xf numFmtId="0" fontId="0" fillId="0" borderId="1" xfId="0" applyBorder="1"/>
    <xf numFmtId="0" fontId="2" fillId="0" borderId="0" xfId="0" applyFont="1" applyAlignment="1">
      <alignment vertical="center"/>
    </xf>
    <xf numFmtId="9" fontId="0" fillId="0" borderId="1" xfId="0" applyNumberFormat="1" applyBorder="1"/>
    <xf numFmtId="0" fontId="2" fillId="0" borderId="1" xfId="0" applyFont="1" applyBorder="1" applyAlignment="1">
      <alignment vertical="center"/>
    </xf>
    <xf numFmtId="164" fontId="2" fillId="0" borderId="1" xfId="0" applyNumberFormat="1" applyFont="1" applyBorder="1" applyAlignment="1">
      <alignment vertical="center"/>
    </xf>
    <xf numFmtId="164" fontId="0" fillId="0" borderId="1" xfId="0" applyNumberFormat="1" applyBorder="1"/>
    <xf numFmtId="0" fontId="1" fillId="0" borderId="1" xfId="0" applyFont="1" applyBorder="1"/>
    <xf numFmtId="0" fontId="4" fillId="2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0" xfId="0" applyBorder="1"/>
    <xf numFmtId="0" fontId="0" fillId="0" borderId="5" xfId="0" applyBorder="1"/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7" fillId="0" borderId="0" xfId="0" applyFont="1"/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8" fillId="0" borderId="0" xfId="0" applyFont="1"/>
    <xf numFmtId="0" fontId="8" fillId="0" borderId="1" xfId="0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1" xfId="0" applyNumberFormat="1" applyFont="1" applyBorder="1" applyAlignment="1">
      <alignment horizontal="center" vertical="center"/>
    </xf>
    <xf numFmtId="10" fontId="0" fillId="0" borderId="1" xfId="0" applyNumberFormat="1" applyFont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0" fillId="0" borderId="7" xfId="0" applyBorder="1"/>
    <xf numFmtId="0" fontId="0" fillId="5" borderId="1" xfId="0" applyFont="1" applyFill="1" applyBorder="1" applyAlignment="1">
      <alignment horizontal="center"/>
    </xf>
    <xf numFmtId="0" fontId="0" fillId="5" borderId="4" xfId="0" applyFont="1" applyFill="1" applyBorder="1" applyAlignment="1">
      <alignment horizontal="center"/>
    </xf>
    <xf numFmtId="0" fontId="4" fillId="6" borderId="6" xfId="0" applyFont="1" applyFill="1" applyBorder="1"/>
    <xf numFmtId="0" fontId="4" fillId="6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center" vertical="center"/>
    </xf>
    <xf numFmtId="0" fontId="8" fillId="19" borderId="1" xfId="0" applyFont="1" applyFill="1" applyBorder="1" applyAlignment="1">
      <alignment horizontal="center" vertical="center"/>
    </xf>
    <xf numFmtId="0" fontId="0" fillId="20" borderId="1" xfId="0" applyFill="1" applyBorder="1" applyAlignment="1">
      <alignment horizontal="center"/>
    </xf>
    <xf numFmtId="0" fontId="1" fillId="20" borderId="1" xfId="0" applyFont="1" applyFill="1" applyBorder="1"/>
    <xf numFmtId="0" fontId="4" fillId="20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1" fillId="16" borderId="1" xfId="0" applyFont="1" applyFill="1" applyBorder="1"/>
    <xf numFmtId="168" fontId="0" fillId="0" borderId="1" xfId="1" applyNumberFormat="1" applyFont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Converter Efficiency vs Load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70949256342957"/>
          <c:y val="0.15319444444444447"/>
          <c:w val="0.79957174103237094"/>
          <c:h val="0.6230865412656750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Sheet1!$G$3:$G$6</c:f>
              <c:numCache>
                <c:formatCode>0%</c:formatCode>
                <c:ptCount val="4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</c:numCache>
            </c:numRef>
          </c:cat>
          <c:val>
            <c:numRef>
              <c:f>Sheet1!$J$3:$J$6</c:f>
              <c:numCache>
                <c:formatCode>0.0000</c:formatCode>
                <c:ptCount val="4"/>
                <c:pt idx="0">
                  <c:v>0.9873617693522907</c:v>
                </c:pt>
                <c:pt idx="1">
                  <c:v>0.99206349206349209</c:v>
                </c:pt>
                <c:pt idx="2">
                  <c:v>0.99390405512854496</c:v>
                </c:pt>
                <c:pt idx="3">
                  <c:v>0.99502487562189057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0-470A-9C67-EB2563E9ED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4303599"/>
        <c:axId val="1184304079"/>
      </c:lineChart>
      <c:catAx>
        <c:axId val="1184303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Load %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  <a:alpha val="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304079"/>
        <c:crosses val="autoZero"/>
        <c:auto val="1"/>
        <c:lblAlgn val="ctr"/>
        <c:lblOffset val="100"/>
        <c:noMultiLvlLbl val="0"/>
      </c:catAx>
      <c:valAx>
        <c:axId val="1184304079"/>
        <c:scaling>
          <c:orientation val="minMax"/>
          <c:max val="1"/>
          <c:min val="0.9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4303599"/>
        <c:crosses val="autoZero"/>
        <c:crossBetween val="between"/>
      </c:valAx>
      <c:spPr>
        <a:solidFill>
          <a:schemeClr val="tx2">
            <a:lumMod val="10000"/>
            <a:lumOff val="90000"/>
          </a:schemeClr>
        </a:solidFill>
        <a:ln w="12700">
          <a:solidFill>
            <a:schemeClr val="tx1">
              <a:alpha val="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1905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Converter Efficiency vs Load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Efficiency!$C$1</c:f>
              <c:strCache>
                <c:ptCount val="1"/>
                <c:pt idx="0">
                  <c:v>Efficiency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Efficiency!$A$2:$A$5</c:f>
              <c:numCache>
                <c:formatCode>0%</c:formatCode>
                <c:ptCount val="4"/>
                <c:pt idx="0">
                  <c:v>0.25</c:v>
                </c:pt>
                <c:pt idx="1">
                  <c:v>0.5</c:v>
                </c:pt>
                <c:pt idx="2">
                  <c:v>0.75</c:v>
                </c:pt>
                <c:pt idx="3">
                  <c:v>1</c:v>
                </c:pt>
              </c:numCache>
            </c:numRef>
          </c:xVal>
          <c:yVal>
            <c:numRef>
              <c:f>Efficiency!$C$2:$C$5</c:f>
              <c:numCache>
                <c:formatCode>0.00%</c:formatCode>
                <c:ptCount val="4"/>
                <c:pt idx="0">
                  <c:v>0.98740000000000006</c:v>
                </c:pt>
                <c:pt idx="1">
                  <c:v>0.99209999999999998</c:v>
                </c:pt>
                <c:pt idx="2">
                  <c:v>0.99390000000000001</c:v>
                </c:pt>
                <c:pt idx="3">
                  <c:v>0.995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0D-4BA6-A79C-7FEEF092E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760944"/>
        <c:axId val="79767184"/>
      </c:scatterChart>
      <c:valAx>
        <c:axId val="7976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Load</a:t>
                </a:r>
                <a:r>
                  <a:rPr lang="en-US" baseline="0"/>
                  <a:t>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alpha val="96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67184"/>
        <c:crosses val="autoZero"/>
        <c:crossBetween val="midCat"/>
        <c:majorUnit val="0.1"/>
        <c:minorUnit val="5.000000000000001E-2"/>
      </c:valAx>
      <c:valAx>
        <c:axId val="7976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Efficiency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760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15875" cap="flat" cmpd="sng" algn="ctr">
      <a:solidFill>
        <a:schemeClr val="tx1">
          <a:lumMod val="95000"/>
          <a:lumOff val="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8</xdr:row>
      <xdr:rowOff>11430</xdr:rowOff>
    </xdr:from>
    <xdr:to>
      <xdr:col>12</xdr:col>
      <xdr:colOff>190500</xdr:colOff>
      <xdr:row>23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EFF5067-E13C-1CED-7539-9F4D5AB2FB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403860</xdr:colOff>
      <xdr:row>6</xdr:row>
      <xdr:rowOff>87630</xdr:rowOff>
    </xdr:from>
    <xdr:to>
      <xdr:col>8</xdr:col>
      <xdr:colOff>944880</xdr:colOff>
      <xdr:row>21</xdr:row>
      <xdr:rowOff>106680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CDE1554-6F3C-426B-03DF-4A5561961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84C2-19CC-4382-9582-DA72628DCEA3}">
  <dimension ref="A1:J26"/>
  <sheetViews>
    <sheetView zoomScale="85" zoomScaleNormal="85" workbookViewId="0">
      <selection activeCell="A23" sqref="A23:B23"/>
    </sheetView>
  </sheetViews>
  <sheetFormatPr defaultRowHeight="14.4"/>
  <cols>
    <col min="1" max="1" width="13.44140625" customWidth="1"/>
    <col min="2" max="2" width="23.33203125" customWidth="1"/>
    <col min="3" max="3" width="11.5546875" customWidth="1"/>
    <col min="8" max="8" width="10.109375" customWidth="1"/>
    <col min="10" max="10" width="10.5546875" bestFit="1" customWidth="1"/>
  </cols>
  <sheetData>
    <row r="1" spans="1:10" ht="18">
      <c r="A1" s="9" t="s">
        <v>27</v>
      </c>
      <c r="B1" s="9"/>
      <c r="C1" s="9"/>
      <c r="D1" s="9"/>
      <c r="G1" s="10" t="s">
        <v>28</v>
      </c>
      <c r="H1" s="10"/>
      <c r="I1" s="10"/>
      <c r="J1" s="10"/>
    </row>
    <row r="2" spans="1:10">
      <c r="A2" s="11" t="s">
        <v>0</v>
      </c>
      <c r="B2" s="8" t="s">
        <v>1</v>
      </c>
      <c r="C2" s="8" t="s">
        <v>2</v>
      </c>
      <c r="D2" s="8" t="s">
        <v>3</v>
      </c>
      <c r="G2" s="8" t="s">
        <v>23</v>
      </c>
      <c r="H2" s="8" t="s">
        <v>24</v>
      </c>
      <c r="I2" s="8" t="s">
        <v>25</v>
      </c>
      <c r="J2" s="8" t="s">
        <v>26</v>
      </c>
    </row>
    <row r="3" spans="1:10">
      <c r="A3" s="12"/>
      <c r="B3" s="8" t="s">
        <v>4</v>
      </c>
      <c r="C3" s="2">
        <v>2500000</v>
      </c>
      <c r="D3" s="2" t="s">
        <v>5</v>
      </c>
      <c r="G3" s="4">
        <v>0.25</v>
      </c>
      <c r="H3" s="2">
        <f>2500000*0.25</f>
        <v>625000</v>
      </c>
      <c r="I3" s="2">
        <v>8000</v>
      </c>
      <c r="J3" s="6">
        <f>H3/(H3+I3)</f>
        <v>0.9873617693522907</v>
      </c>
    </row>
    <row r="4" spans="1:10">
      <c r="A4" s="12"/>
      <c r="B4" s="8" t="s">
        <v>6</v>
      </c>
      <c r="C4" s="2">
        <v>800</v>
      </c>
      <c r="D4" s="2" t="s">
        <v>7</v>
      </c>
      <c r="G4" s="4">
        <v>0.5</v>
      </c>
      <c r="H4" s="2">
        <f>2500000*0.5</f>
        <v>1250000</v>
      </c>
      <c r="I4" s="2">
        <v>10000</v>
      </c>
      <c r="J4" s="6">
        <f>H4/(H4+I4)</f>
        <v>0.99206349206349209</v>
      </c>
    </row>
    <row r="5" spans="1:10">
      <c r="A5" s="12"/>
      <c r="B5" s="8" t="s">
        <v>8</v>
      </c>
      <c r="C5" s="2">
        <v>1000</v>
      </c>
      <c r="D5" s="2" t="s">
        <v>7</v>
      </c>
      <c r="G5" s="4">
        <v>0.75</v>
      </c>
      <c r="H5" s="2">
        <f>2500000*0.75</f>
        <v>1875000</v>
      </c>
      <c r="I5" s="2">
        <v>11500</v>
      </c>
      <c r="J5" s="6">
        <f>H5/(H5+I5)</f>
        <v>0.99390405512854496</v>
      </c>
    </row>
    <row r="6" spans="1:10">
      <c r="A6" s="13"/>
      <c r="B6" s="8" t="s">
        <v>9</v>
      </c>
      <c r="C6" s="2">
        <v>5</v>
      </c>
      <c r="D6" s="2"/>
      <c r="G6" s="4">
        <v>1</v>
      </c>
      <c r="H6" s="2">
        <f>2500000</f>
        <v>2500000</v>
      </c>
      <c r="I6" s="2">
        <v>12500</v>
      </c>
      <c r="J6" s="7">
        <f>H6/(H6+I6)</f>
        <v>0.99502487562189057</v>
      </c>
    </row>
    <row r="7" spans="1:10">
      <c r="A7" s="2"/>
      <c r="B7" s="2"/>
      <c r="C7" s="2"/>
      <c r="D7" s="2"/>
      <c r="J7" s="3"/>
    </row>
    <row r="8" spans="1:10">
      <c r="A8" s="11" t="s">
        <v>10</v>
      </c>
      <c r="B8" s="8" t="s">
        <v>11</v>
      </c>
      <c r="C8" s="2">
        <f>C3/C4</f>
        <v>3125</v>
      </c>
      <c r="D8" s="2" t="s">
        <v>29</v>
      </c>
    </row>
    <row r="9" spans="1:10">
      <c r="A9" s="12"/>
      <c r="B9" s="8" t="s">
        <v>12</v>
      </c>
      <c r="C9" s="3">
        <f>C3/C5</f>
        <v>2500</v>
      </c>
      <c r="D9" s="2" t="s">
        <v>29</v>
      </c>
    </row>
    <row r="10" spans="1:10">
      <c r="A10" s="12"/>
      <c r="B10" s="8" t="s">
        <v>13</v>
      </c>
      <c r="C10" s="5">
        <f>C3/C6</f>
        <v>500000</v>
      </c>
      <c r="D10" s="2" t="s">
        <v>5</v>
      </c>
    </row>
    <row r="11" spans="1:10">
      <c r="A11" s="13"/>
      <c r="B11" s="8" t="s">
        <v>14</v>
      </c>
      <c r="C11" s="3">
        <f>C10/C4</f>
        <v>625</v>
      </c>
      <c r="D11" s="2" t="s">
        <v>29</v>
      </c>
    </row>
    <row r="12" spans="1:10">
      <c r="A12" s="2"/>
      <c r="B12" s="2"/>
      <c r="C12" s="2"/>
      <c r="D12" s="2"/>
    </row>
    <row r="13" spans="1:10">
      <c r="A13" s="11" t="s">
        <v>15</v>
      </c>
      <c r="B13" s="8" t="s">
        <v>16</v>
      </c>
      <c r="C13" s="2">
        <v>4000</v>
      </c>
      <c r="D13" s="2" t="s">
        <v>5</v>
      </c>
    </row>
    <row r="14" spans="1:10">
      <c r="A14" s="12"/>
      <c r="B14" s="8" t="s">
        <v>17</v>
      </c>
      <c r="C14" s="2">
        <v>2500</v>
      </c>
      <c r="D14" s="2" t="s">
        <v>5</v>
      </c>
    </row>
    <row r="15" spans="1:10">
      <c r="A15" s="12"/>
      <c r="B15" s="8" t="s">
        <v>18</v>
      </c>
      <c r="C15" s="2">
        <v>2000</v>
      </c>
      <c r="D15" s="2" t="s">
        <v>5</v>
      </c>
    </row>
    <row r="16" spans="1:10">
      <c r="A16" s="12"/>
      <c r="B16" s="8" t="s">
        <v>19</v>
      </c>
      <c r="C16" s="2">
        <v>1200</v>
      </c>
      <c r="D16" s="2" t="s">
        <v>5</v>
      </c>
    </row>
    <row r="17" spans="1:4">
      <c r="A17" s="12"/>
      <c r="B17" s="8" t="s">
        <v>20</v>
      </c>
      <c r="C17" s="2">
        <v>1000</v>
      </c>
      <c r="D17" s="2" t="s">
        <v>5</v>
      </c>
    </row>
    <row r="18" spans="1:4">
      <c r="A18" s="12"/>
      <c r="B18" s="8" t="s">
        <v>21</v>
      </c>
      <c r="C18" s="2">
        <v>1800</v>
      </c>
      <c r="D18" s="2" t="s">
        <v>5</v>
      </c>
    </row>
    <row r="19" spans="1:4">
      <c r="A19" s="13"/>
      <c r="B19" s="8" t="s">
        <v>22</v>
      </c>
      <c r="C19" s="5">
        <f>SUM(C13:C18)</f>
        <v>12500</v>
      </c>
      <c r="D19" s="2" t="s">
        <v>5</v>
      </c>
    </row>
    <row r="23" spans="1:4">
      <c r="A23" s="1"/>
    </row>
    <row r="24" spans="1:4">
      <c r="A24" s="1"/>
    </row>
    <row r="25" spans="1:4">
      <c r="A25" s="1"/>
    </row>
    <row r="26" spans="1:4">
      <c r="A26" s="1"/>
    </row>
  </sheetData>
  <mergeCells count="5">
    <mergeCell ref="A1:D1"/>
    <mergeCell ref="G1:J1"/>
    <mergeCell ref="A13:A19"/>
    <mergeCell ref="A8:A11"/>
    <mergeCell ref="A2:A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F749A-658C-41D5-842C-5799910B7650}">
  <dimension ref="A1:L18"/>
  <sheetViews>
    <sheetView workbookViewId="0">
      <selection activeCell="H19" sqref="H19"/>
    </sheetView>
  </sheetViews>
  <sheetFormatPr defaultRowHeight="14.4"/>
  <cols>
    <col min="1" max="1" width="13.21875" customWidth="1"/>
    <col min="2" max="2" width="23.6640625" customWidth="1"/>
    <col min="3" max="3" width="32.77734375" customWidth="1"/>
    <col min="6" max="6" width="27" customWidth="1"/>
    <col min="7" max="7" width="10.77734375" customWidth="1"/>
    <col min="8" max="8" width="10" customWidth="1"/>
    <col min="9" max="9" width="8.33203125" customWidth="1"/>
    <col min="11" max="11" width="20.21875" customWidth="1"/>
    <col min="12" max="12" width="31.6640625" customWidth="1"/>
  </cols>
  <sheetData>
    <row r="1" spans="1:12" ht="18.600000000000001" customHeight="1">
      <c r="A1" s="20" t="s">
        <v>30</v>
      </c>
      <c r="B1" s="21" t="s">
        <v>1</v>
      </c>
      <c r="C1" s="20" t="s">
        <v>2</v>
      </c>
      <c r="D1" s="21" t="s">
        <v>3</v>
      </c>
      <c r="E1" s="22"/>
      <c r="F1" s="20" t="s">
        <v>77</v>
      </c>
      <c r="G1" s="21" t="s">
        <v>62</v>
      </c>
      <c r="H1" s="20" t="s">
        <v>2</v>
      </c>
      <c r="I1" s="21" t="s">
        <v>3</v>
      </c>
    </row>
    <row r="2" spans="1:12" ht="18.600000000000001" customHeight="1">
      <c r="A2" s="16" t="s">
        <v>31</v>
      </c>
      <c r="B2" s="23" t="s">
        <v>32</v>
      </c>
      <c r="C2" s="24">
        <v>800</v>
      </c>
      <c r="D2" s="23" t="s">
        <v>7</v>
      </c>
      <c r="F2" s="33" t="s">
        <v>63</v>
      </c>
      <c r="G2" s="34" t="s">
        <v>64</v>
      </c>
      <c r="H2" s="24">
        <v>99.5</v>
      </c>
      <c r="I2" s="35" t="s">
        <v>65</v>
      </c>
      <c r="K2" s="68" t="s">
        <v>202</v>
      </c>
      <c r="L2" s="2" t="s">
        <v>203</v>
      </c>
    </row>
    <row r="3" spans="1:12" ht="18.600000000000001" customHeight="1">
      <c r="A3" s="16"/>
      <c r="B3" s="23" t="s">
        <v>33</v>
      </c>
      <c r="C3" s="24">
        <v>720</v>
      </c>
      <c r="D3" s="23" t="s">
        <v>7</v>
      </c>
      <c r="F3" s="33" t="s">
        <v>66</v>
      </c>
      <c r="G3" s="34" t="s">
        <v>67</v>
      </c>
      <c r="H3" s="24">
        <v>99</v>
      </c>
      <c r="I3" s="35" t="s">
        <v>65</v>
      </c>
      <c r="K3" s="68" t="s">
        <v>204</v>
      </c>
      <c r="L3" s="2" t="s">
        <v>205</v>
      </c>
    </row>
    <row r="4" spans="1:12" ht="18.600000000000001" customHeight="1">
      <c r="A4" s="16"/>
      <c r="B4" s="23" t="s">
        <v>34</v>
      </c>
      <c r="C4" s="24">
        <v>880</v>
      </c>
      <c r="D4" s="23" t="s">
        <v>7</v>
      </c>
      <c r="F4" s="33" t="s">
        <v>68</v>
      </c>
      <c r="G4" s="34" t="s">
        <v>69</v>
      </c>
      <c r="H4" s="24">
        <v>98.5</v>
      </c>
      <c r="I4" s="35" t="s">
        <v>65</v>
      </c>
    </row>
    <row r="5" spans="1:12" ht="18.600000000000001" customHeight="1">
      <c r="A5" s="17" t="s">
        <v>35</v>
      </c>
      <c r="B5" s="25" t="s">
        <v>36</v>
      </c>
      <c r="C5" s="26">
        <v>1000</v>
      </c>
      <c r="D5" s="25" t="s">
        <v>7</v>
      </c>
      <c r="F5" s="33" t="s">
        <v>70</v>
      </c>
      <c r="G5" s="34" t="s">
        <v>71</v>
      </c>
      <c r="H5" s="24">
        <v>125</v>
      </c>
      <c r="I5" s="35" t="s">
        <v>61</v>
      </c>
    </row>
    <row r="6" spans="1:12" ht="18.600000000000001" customHeight="1">
      <c r="A6" s="17"/>
      <c r="B6" s="25" t="s">
        <v>37</v>
      </c>
      <c r="C6" s="26">
        <v>900</v>
      </c>
      <c r="D6" s="25" t="s">
        <v>7</v>
      </c>
      <c r="F6" s="33" t="s">
        <v>72</v>
      </c>
      <c r="G6" s="34" t="s">
        <v>73</v>
      </c>
      <c r="H6" s="24">
        <v>120</v>
      </c>
      <c r="I6" s="35" t="s">
        <v>61</v>
      </c>
    </row>
    <row r="7" spans="1:12" ht="18.600000000000001" customHeight="1">
      <c r="A7" s="17"/>
      <c r="B7" s="25" t="s">
        <v>38</v>
      </c>
      <c r="C7" s="26">
        <v>1100</v>
      </c>
      <c r="D7" s="25" t="s">
        <v>7</v>
      </c>
      <c r="F7" s="33" t="s">
        <v>74</v>
      </c>
      <c r="G7" s="34" t="s">
        <v>75</v>
      </c>
      <c r="H7" s="24">
        <v>1.5</v>
      </c>
      <c r="I7" s="35" t="s">
        <v>76</v>
      </c>
    </row>
    <row r="8" spans="1:12" ht="18.600000000000001" customHeight="1">
      <c r="A8" s="17"/>
      <c r="B8" s="25" t="s">
        <v>39</v>
      </c>
      <c r="C8" s="26">
        <v>10</v>
      </c>
      <c r="D8" s="25" t="s">
        <v>40</v>
      </c>
    </row>
    <row r="9" spans="1:12" ht="18.600000000000001" customHeight="1">
      <c r="A9" s="18" t="s">
        <v>41</v>
      </c>
      <c r="B9" s="27" t="s">
        <v>42</v>
      </c>
      <c r="C9" s="28">
        <v>2500000</v>
      </c>
      <c r="D9" s="27" t="s">
        <v>5</v>
      </c>
    </row>
    <row r="10" spans="1:12" ht="18.600000000000001" customHeight="1">
      <c r="A10" s="18"/>
      <c r="B10" s="27" t="s">
        <v>43</v>
      </c>
      <c r="C10" s="28">
        <v>5</v>
      </c>
      <c r="D10" s="27" t="s">
        <v>44</v>
      </c>
    </row>
    <row r="11" spans="1:12" ht="18.600000000000001" customHeight="1">
      <c r="A11" s="18"/>
      <c r="B11" s="27" t="s">
        <v>13</v>
      </c>
      <c r="C11" s="28">
        <v>500000</v>
      </c>
      <c r="D11" s="27" t="s">
        <v>5</v>
      </c>
    </row>
    <row r="12" spans="1:12" ht="18.600000000000001" customHeight="1">
      <c r="A12" s="19" t="s">
        <v>45</v>
      </c>
      <c r="B12" s="29" t="s">
        <v>46</v>
      </c>
      <c r="C12" s="30" t="s">
        <v>47</v>
      </c>
      <c r="D12" s="29" t="s">
        <v>44</v>
      </c>
    </row>
    <row r="13" spans="1:12" ht="18.600000000000001" customHeight="1">
      <c r="A13" s="19"/>
      <c r="B13" s="29" t="s">
        <v>48</v>
      </c>
      <c r="C13" s="30" t="s">
        <v>49</v>
      </c>
      <c r="D13" s="29" t="s">
        <v>44</v>
      </c>
    </row>
    <row r="14" spans="1:12" ht="18.600000000000001" customHeight="1">
      <c r="A14" s="8" t="s">
        <v>50</v>
      </c>
      <c r="B14" s="31" t="s">
        <v>51</v>
      </c>
      <c r="C14" s="32" t="s">
        <v>52</v>
      </c>
      <c r="D14" s="31" t="s">
        <v>44</v>
      </c>
    </row>
    <row r="15" spans="1:12" ht="18.600000000000001" customHeight="1">
      <c r="A15" s="8" t="s">
        <v>53</v>
      </c>
      <c r="B15" s="31" t="s">
        <v>54</v>
      </c>
      <c r="C15" s="32">
        <v>20000</v>
      </c>
      <c r="D15" s="31" t="s">
        <v>55</v>
      </c>
      <c r="F15" s="32" t="s">
        <v>206</v>
      </c>
      <c r="G15" s="31">
        <v>3125</v>
      </c>
      <c r="H15" s="31" t="s">
        <v>29</v>
      </c>
    </row>
    <row r="16" spans="1:12" ht="18.600000000000001" customHeight="1">
      <c r="A16" s="8" t="s">
        <v>56</v>
      </c>
      <c r="B16" s="31" t="s">
        <v>57</v>
      </c>
      <c r="C16" s="32" t="s">
        <v>58</v>
      </c>
      <c r="D16" s="31" t="s">
        <v>44</v>
      </c>
    </row>
    <row r="17" spans="1:4" ht="18.600000000000001" customHeight="1">
      <c r="A17" s="8" t="s">
        <v>59</v>
      </c>
      <c r="B17" s="31" t="s">
        <v>60</v>
      </c>
      <c r="C17" s="32">
        <v>40</v>
      </c>
      <c r="D17" s="31" t="s">
        <v>61</v>
      </c>
    </row>
    <row r="18" spans="1:4">
      <c r="B18" s="32"/>
      <c r="C18" s="31"/>
      <c r="D18" s="31"/>
    </row>
  </sheetData>
  <mergeCells count="4">
    <mergeCell ref="A2:A4"/>
    <mergeCell ref="A5:A8"/>
    <mergeCell ref="A9:A11"/>
    <mergeCell ref="A12:A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42D0E-C6E6-45FA-9A15-F446DF8E54D8}">
  <dimension ref="A1:D17"/>
  <sheetViews>
    <sheetView workbookViewId="0">
      <selection activeCell="E16" sqref="E16"/>
    </sheetView>
  </sheetViews>
  <sheetFormatPr defaultRowHeight="14.4"/>
  <cols>
    <col min="1" max="1" width="27.21875" customWidth="1"/>
    <col min="2" max="2" width="25.33203125" customWidth="1"/>
    <col min="3" max="3" width="18" customWidth="1"/>
    <col min="4" max="4" width="22.6640625" customWidth="1"/>
  </cols>
  <sheetData>
    <row r="1" spans="1:4" ht="24.6" customHeight="1">
      <c r="A1" s="38" t="s">
        <v>1</v>
      </c>
      <c r="B1" s="38" t="s">
        <v>78</v>
      </c>
      <c r="C1" s="38" t="s">
        <v>2</v>
      </c>
      <c r="D1" s="38" t="s">
        <v>3</v>
      </c>
    </row>
    <row r="2" spans="1:4" ht="18.600000000000001" customHeight="1">
      <c r="A2" s="32" t="s">
        <v>4</v>
      </c>
      <c r="B2" s="31" t="s">
        <v>79</v>
      </c>
      <c r="C2" s="31">
        <v>2500000</v>
      </c>
      <c r="D2" s="31" t="s">
        <v>5</v>
      </c>
    </row>
    <row r="3" spans="1:4" ht="18.600000000000001" customHeight="1">
      <c r="A3" s="32" t="s">
        <v>80</v>
      </c>
      <c r="B3" s="31" t="s">
        <v>79</v>
      </c>
      <c r="C3" s="31">
        <v>800</v>
      </c>
      <c r="D3" s="31" t="s">
        <v>7</v>
      </c>
    </row>
    <row r="4" spans="1:4" ht="18.600000000000001" customHeight="1">
      <c r="A4" s="32" t="s">
        <v>36</v>
      </c>
      <c r="B4" s="31" t="s">
        <v>79</v>
      </c>
      <c r="C4" s="31">
        <v>1000</v>
      </c>
      <c r="D4" s="31" t="s">
        <v>7</v>
      </c>
    </row>
    <row r="5" spans="1:4" ht="18.600000000000001" customHeight="1">
      <c r="A5" s="32" t="s">
        <v>43</v>
      </c>
      <c r="B5" s="31" t="s">
        <v>79</v>
      </c>
      <c r="C5" s="31">
        <v>5</v>
      </c>
      <c r="D5" s="31" t="s">
        <v>44</v>
      </c>
    </row>
    <row r="6" spans="1:4" ht="18.600000000000001" customHeight="1">
      <c r="A6" s="32" t="s">
        <v>11</v>
      </c>
      <c r="B6" s="31">
        <f>C2/C3</f>
        <v>3125</v>
      </c>
      <c r="C6" s="31">
        <v>3125</v>
      </c>
      <c r="D6" s="31" t="s">
        <v>29</v>
      </c>
    </row>
    <row r="7" spans="1:4" ht="18.600000000000001" customHeight="1">
      <c r="A7" s="32" t="s">
        <v>12</v>
      </c>
      <c r="B7" s="31">
        <f>C2/C4</f>
        <v>2500</v>
      </c>
      <c r="C7" s="31">
        <v>2500</v>
      </c>
      <c r="D7" s="31" t="s">
        <v>29</v>
      </c>
    </row>
    <row r="8" spans="1:4" ht="18.600000000000001" customHeight="1">
      <c r="A8" s="32" t="s">
        <v>13</v>
      </c>
      <c r="B8" s="31">
        <f>C2/C5</f>
        <v>500000</v>
      </c>
      <c r="C8" s="31">
        <v>500000</v>
      </c>
      <c r="D8" s="31" t="s">
        <v>5</v>
      </c>
    </row>
    <row r="9" spans="1:4" ht="18.600000000000001" customHeight="1">
      <c r="A9" s="32" t="s">
        <v>81</v>
      </c>
      <c r="B9" s="31">
        <f>C8/C3</f>
        <v>625</v>
      </c>
      <c r="C9" s="31">
        <v>625</v>
      </c>
      <c r="D9" s="31" t="s">
        <v>29</v>
      </c>
    </row>
    <row r="10" spans="1:4" ht="18.600000000000001" customHeight="1">
      <c r="A10" s="14"/>
      <c r="B10" s="14"/>
      <c r="C10" s="14"/>
      <c r="D10" s="14"/>
    </row>
    <row r="11" spans="1:4" ht="18.600000000000001" customHeight="1">
      <c r="A11" s="14"/>
      <c r="B11" s="14"/>
      <c r="C11" s="14"/>
      <c r="D11" s="14"/>
    </row>
    <row r="12" spans="1:4" ht="18.600000000000001" customHeight="1">
      <c r="A12" s="14"/>
      <c r="B12" s="14"/>
      <c r="C12" s="14"/>
      <c r="D12" s="14"/>
    </row>
    <row r="13" spans="1:4" ht="18.600000000000001" customHeight="1">
      <c r="A13" s="14"/>
      <c r="B13" s="14"/>
      <c r="C13" s="14"/>
      <c r="D13" s="14"/>
    </row>
    <row r="14" spans="1:4" ht="25.8" customHeight="1">
      <c r="A14" s="37" t="s">
        <v>82</v>
      </c>
      <c r="B14" s="37" t="s">
        <v>6</v>
      </c>
      <c r="C14" s="37" t="s">
        <v>8</v>
      </c>
      <c r="D14" s="37" t="s">
        <v>83</v>
      </c>
    </row>
    <row r="15" spans="1:4" ht="18.600000000000001" customHeight="1">
      <c r="A15" s="31" t="s">
        <v>84</v>
      </c>
      <c r="B15" s="31">
        <v>720</v>
      </c>
      <c r="C15" s="31">
        <v>900</v>
      </c>
      <c r="D15" s="31" t="s">
        <v>85</v>
      </c>
    </row>
    <row r="16" spans="1:4" ht="18.600000000000001" customHeight="1">
      <c r="A16" s="31" t="s">
        <v>86</v>
      </c>
      <c r="B16" s="31">
        <v>800</v>
      </c>
      <c r="C16" s="31">
        <v>1000</v>
      </c>
      <c r="D16" s="31" t="s">
        <v>87</v>
      </c>
    </row>
    <row r="17" spans="1:4" ht="18.600000000000001" customHeight="1">
      <c r="A17" s="31" t="s">
        <v>88</v>
      </c>
      <c r="B17" s="31">
        <v>880</v>
      </c>
      <c r="C17" s="31">
        <v>1100</v>
      </c>
      <c r="D17" s="31" t="s">
        <v>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86E9E-38F5-41E5-B016-D9B6DD368117}">
  <dimension ref="A1:L5"/>
  <sheetViews>
    <sheetView workbookViewId="0">
      <selection activeCell="H11" sqref="H11"/>
    </sheetView>
  </sheetViews>
  <sheetFormatPr defaultRowHeight="14.4"/>
  <cols>
    <col min="1" max="2" width="12.6640625" customWidth="1"/>
    <col min="3" max="3" width="21.44140625" customWidth="1"/>
    <col min="4" max="4" width="19.44140625" customWidth="1"/>
    <col min="5" max="5" width="16.109375" customWidth="1"/>
    <col min="6" max="6" width="15.77734375" customWidth="1"/>
    <col min="7" max="7" width="15.6640625" customWidth="1"/>
    <col min="8" max="8" width="15.109375" customWidth="1"/>
    <col min="9" max="9" width="15.6640625" customWidth="1"/>
    <col min="10" max="12" width="12.6640625" customWidth="1"/>
  </cols>
  <sheetData>
    <row r="1" spans="1:12" ht="24.6" customHeight="1">
      <c r="A1" s="40" t="s">
        <v>23</v>
      </c>
      <c r="B1" s="40" t="s">
        <v>24</v>
      </c>
      <c r="C1" s="40" t="s">
        <v>90</v>
      </c>
      <c r="D1" s="40" t="s">
        <v>91</v>
      </c>
      <c r="E1" s="40" t="s">
        <v>92</v>
      </c>
      <c r="F1" s="40" t="s">
        <v>93</v>
      </c>
      <c r="G1" s="40" t="s">
        <v>94</v>
      </c>
      <c r="H1" s="40" t="s">
        <v>95</v>
      </c>
      <c r="I1" s="40" t="s">
        <v>96</v>
      </c>
      <c r="J1" s="39"/>
      <c r="K1" s="40" t="s">
        <v>23</v>
      </c>
      <c r="L1" s="40" t="s">
        <v>26</v>
      </c>
    </row>
    <row r="2" spans="1:12" ht="19.8" customHeight="1">
      <c r="A2" s="41">
        <v>0.25</v>
      </c>
      <c r="B2" s="31">
        <v>625000</v>
      </c>
      <c r="C2" s="31">
        <v>2200</v>
      </c>
      <c r="D2" s="31">
        <v>1200</v>
      </c>
      <c r="E2" s="31">
        <v>1300</v>
      </c>
      <c r="F2" s="31">
        <v>900</v>
      </c>
      <c r="G2" s="31">
        <v>900</v>
      </c>
      <c r="H2" s="31">
        <v>1500</v>
      </c>
      <c r="I2" s="31">
        <f>SUM(C2:H2)</f>
        <v>8000</v>
      </c>
      <c r="K2" s="41">
        <v>0.25</v>
      </c>
      <c r="L2" s="69">
        <f>B2/(B2+I2)</f>
        <v>0.9873617693522907</v>
      </c>
    </row>
    <row r="3" spans="1:12" ht="19.8" customHeight="1">
      <c r="A3" s="41">
        <v>0.5</v>
      </c>
      <c r="B3" s="31">
        <v>1250000</v>
      </c>
      <c r="C3" s="31">
        <v>3000</v>
      </c>
      <c r="D3" s="31">
        <v>1800</v>
      </c>
      <c r="E3" s="31">
        <v>1700</v>
      </c>
      <c r="F3" s="31">
        <v>1000</v>
      </c>
      <c r="G3" s="31">
        <v>950</v>
      </c>
      <c r="H3" s="31">
        <v>1550</v>
      </c>
      <c r="I3" s="31">
        <f>SUM(C3:H3)</f>
        <v>10000</v>
      </c>
      <c r="K3" s="41">
        <v>0.5</v>
      </c>
      <c r="L3" s="69">
        <f>B3/(B3+I3)</f>
        <v>0.99206349206349209</v>
      </c>
    </row>
    <row r="4" spans="1:12" ht="19.8" customHeight="1">
      <c r="A4" s="41">
        <v>0.75</v>
      </c>
      <c r="B4" s="31">
        <v>1875000</v>
      </c>
      <c r="C4" s="31">
        <v>3600</v>
      </c>
      <c r="D4" s="31">
        <v>2200</v>
      </c>
      <c r="E4" s="31">
        <v>1900</v>
      </c>
      <c r="F4" s="31">
        <v>1100</v>
      </c>
      <c r="G4" s="31">
        <v>1000</v>
      </c>
      <c r="H4" s="31">
        <v>1700</v>
      </c>
      <c r="I4" s="31">
        <f>SUM(C4:H4)</f>
        <v>11500</v>
      </c>
      <c r="K4" s="41">
        <v>0.75</v>
      </c>
      <c r="L4" s="69">
        <f>B4/(B4+I4)</f>
        <v>0.99390405512854496</v>
      </c>
    </row>
    <row r="5" spans="1:12" ht="19.8" customHeight="1">
      <c r="A5" s="41">
        <v>1</v>
      </c>
      <c r="B5" s="31">
        <v>2500000</v>
      </c>
      <c r="C5" s="31">
        <v>4000</v>
      </c>
      <c r="D5" s="31">
        <v>2500</v>
      </c>
      <c r="E5" s="31">
        <v>2000</v>
      </c>
      <c r="F5" s="31">
        <v>1200</v>
      </c>
      <c r="G5" s="31">
        <v>1000</v>
      </c>
      <c r="H5" s="31">
        <v>1800</v>
      </c>
      <c r="I5" s="31">
        <f>SUM(C5:H5)</f>
        <v>12500</v>
      </c>
      <c r="K5" s="41">
        <v>1</v>
      </c>
      <c r="L5" s="69">
        <f>B5/(B5+I5)</f>
        <v>0.99502487562189057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29CE8-BB74-4EFA-8E82-F13D000CDA16}">
  <dimension ref="A1:J5"/>
  <sheetViews>
    <sheetView workbookViewId="0">
      <selection activeCell="K22" sqref="K22"/>
    </sheetView>
  </sheetViews>
  <sheetFormatPr defaultRowHeight="14.4"/>
  <cols>
    <col min="1" max="1" width="11.44140625" customWidth="1"/>
    <col min="2" max="2" width="21.109375" customWidth="1"/>
    <col min="3" max="3" width="11.44140625" customWidth="1"/>
    <col min="8" max="8" width="17.44140625" customWidth="1"/>
    <col min="9" max="9" width="19.88671875" customWidth="1"/>
  </cols>
  <sheetData>
    <row r="1" spans="1:10" ht="19.8" customHeight="1">
      <c r="A1" s="44" t="s">
        <v>23</v>
      </c>
      <c r="B1" s="45" t="s">
        <v>96</v>
      </c>
      <c r="C1" s="44" t="s">
        <v>26</v>
      </c>
      <c r="H1" s="49" t="s">
        <v>97</v>
      </c>
      <c r="I1" s="50" t="s">
        <v>98</v>
      </c>
      <c r="J1" s="49" t="s">
        <v>99</v>
      </c>
    </row>
    <row r="2" spans="1:10" ht="19.2" customHeight="1">
      <c r="A2" s="42">
        <v>0.25</v>
      </c>
      <c r="B2" s="36">
        <v>8000</v>
      </c>
      <c r="C2" s="43">
        <v>0.98740000000000006</v>
      </c>
      <c r="H2" s="31" t="s">
        <v>100</v>
      </c>
      <c r="I2" s="46">
        <v>0.98740000000000006</v>
      </c>
      <c r="J2" s="48" t="s">
        <v>101</v>
      </c>
    </row>
    <row r="3" spans="1:10" ht="19.2" customHeight="1">
      <c r="A3" s="42">
        <v>0.5</v>
      </c>
      <c r="B3" s="36">
        <v>10000</v>
      </c>
      <c r="C3" s="43">
        <v>0.99209999999999998</v>
      </c>
      <c r="H3" s="31" t="s">
        <v>102</v>
      </c>
      <c r="I3" s="31" t="s">
        <v>103</v>
      </c>
      <c r="J3" s="48" t="s">
        <v>101</v>
      </c>
    </row>
    <row r="4" spans="1:10" ht="19.2" customHeight="1">
      <c r="A4" s="42">
        <v>0.75</v>
      </c>
      <c r="B4" s="36">
        <v>11500</v>
      </c>
      <c r="C4" s="43">
        <v>0.99390000000000001</v>
      </c>
      <c r="H4" s="31" t="s">
        <v>104</v>
      </c>
      <c r="I4" s="46">
        <v>0.995</v>
      </c>
      <c r="J4" s="48" t="s">
        <v>101</v>
      </c>
    </row>
    <row r="5" spans="1:10" ht="19.2" customHeight="1">
      <c r="A5" s="42">
        <v>1</v>
      </c>
      <c r="B5" s="36">
        <v>12500</v>
      </c>
      <c r="C5" s="43">
        <v>0.995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95AF-269C-4259-BD38-E1CD066525FB}">
  <dimension ref="A1:I13"/>
  <sheetViews>
    <sheetView workbookViewId="0">
      <selection activeCell="C12" sqref="C12"/>
    </sheetView>
  </sheetViews>
  <sheetFormatPr defaultRowHeight="14.4"/>
  <cols>
    <col min="1" max="1" width="22.77734375" customWidth="1"/>
    <col min="2" max="2" width="34.21875" customWidth="1"/>
    <col min="4" max="4" width="43.77734375" customWidth="1"/>
  </cols>
  <sheetData>
    <row r="1" spans="1:9" ht="20.399999999999999" customHeight="1">
      <c r="A1" s="53" t="s">
        <v>1</v>
      </c>
      <c r="B1" s="24" t="s">
        <v>105</v>
      </c>
      <c r="C1" s="24" t="s">
        <v>3</v>
      </c>
      <c r="D1" s="24" t="s">
        <v>106</v>
      </c>
    </row>
    <row r="2" spans="1:9" ht="20.399999999999999" customHeight="1">
      <c r="A2" s="51" t="s">
        <v>107</v>
      </c>
      <c r="B2" s="31" t="s">
        <v>108</v>
      </c>
      <c r="C2" s="31" t="s">
        <v>44</v>
      </c>
      <c r="D2" s="31" t="s">
        <v>109</v>
      </c>
    </row>
    <row r="3" spans="1:9" ht="20.399999999999999" customHeight="1">
      <c r="A3" s="51" t="s">
        <v>110</v>
      </c>
      <c r="B3" s="31" t="s">
        <v>111</v>
      </c>
      <c r="C3" s="31" t="s">
        <v>44</v>
      </c>
      <c r="D3" s="31" t="s">
        <v>112</v>
      </c>
    </row>
    <row r="4" spans="1:9" ht="20.399999999999999" customHeight="1">
      <c r="A4" s="51" t="s">
        <v>54</v>
      </c>
      <c r="B4" s="31">
        <v>20000</v>
      </c>
      <c r="C4" s="31" t="s">
        <v>55</v>
      </c>
      <c r="D4" s="31" t="s">
        <v>113</v>
      </c>
    </row>
    <row r="5" spans="1:9" ht="20.399999999999999" customHeight="1">
      <c r="A5" s="51" t="s">
        <v>114</v>
      </c>
      <c r="B5" s="31" t="s">
        <v>115</v>
      </c>
      <c r="C5" s="31" t="s">
        <v>44</v>
      </c>
      <c r="D5" s="31" t="s">
        <v>116</v>
      </c>
    </row>
    <row r="6" spans="1:9" ht="20.399999999999999" customHeight="1">
      <c r="A6" s="51" t="s">
        <v>117</v>
      </c>
      <c r="B6" s="31">
        <v>2000</v>
      </c>
      <c r="C6" s="31" t="s">
        <v>5</v>
      </c>
      <c r="D6" s="31" t="s">
        <v>118</v>
      </c>
    </row>
    <row r="7" spans="1:9" ht="20.399999999999999" customHeight="1">
      <c r="A7" s="51" t="s">
        <v>119</v>
      </c>
      <c r="B7" s="31">
        <v>1200</v>
      </c>
      <c r="C7" s="31" t="s">
        <v>5</v>
      </c>
      <c r="D7" s="31" t="s">
        <v>118</v>
      </c>
    </row>
    <row r="8" spans="1:9" ht="20.399999999999999" customHeight="1">
      <c r="A8" s="51" t="s">
        <v>120</v>
      </c>
      <c r="B8" s="31">
        <v>3200</v>
      </c>
      <c r="C8" s="31" t="s">
        <v>5</v>
      </c>
      <c r="D8" s="31" t="s">
        <v>121</v>
      </c>
    </row>
    <row r="9" spans="1:9" ht="20.399999999999999" customHeight="1">
      <c r="A9" s="51" t="s">
        <v>122</v>
      </c>
      <c r="B9" s="31">
        <v>1.25</v>
      </c>
      <c r="C9" s="31" t="s">
        <v>44</v>
      </c>
      <c r="D9" s="31" t="s">
        <v>123</v>
      </c>
    </row>
    <row r="10" spans="1:9" ht="18.600000000000001" customHeight="1">
      <c r="A10" s="51" t="s">
        <v>74</v>
      </c>
      <c r="B10" s="31">
        <v>1.5</v>
      </c>
      <c r="C10" s="31" t="s">
        <v>76</v>
      </c>
      <c r="D10" s="31" t="s">
        <v>207</v>
      </c>
    </row>
    <row r="12" spans="1:9" ht="18">
      <c r="A12" s="57" t="s">
        <v>124</v>
      </c>
      <c r="B12" s="54"/>
      <c r="C12" s="15"/>
      <c r="D12" s="15"/>
      <c r="E12" s="15"/>
      <c r="F12" s="15"/>
      <c r="G12" s="15"/>
      <c r="H12" s="15"/>
      <c r="I12" s="15"/>
    </row>
    <row r="13" spans="1:9" ht="31.8" customHeight="1">
      <c r="A13" s="55" t="s">
        <v>125</v>
      </c>
      <c r="B13" s="56"/>
      <c r="C13" s="56"/>
      <c r="D13" s="56"/>
      <c r="E13" s="56"/>
      <c r="F13" s="56"/>
      <c r="G13" s="56"/>
      <c r="H13" s="56"/>
      <c r="I13" s="56"/>
    </row>
  </sheetData>
  <mergeCells count="1">
    <mergeCell ref="A13:I1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CBAF3-F235-434E-AE49-4A1B6E0F5B1A}">
  <dimension ref="A1:H12"/>
  <sheetViews>
    <sheetView workbookViewId="0">
      <selection activeCell="D11" sqref="D11"/>
    </sheetView>
  </sheetViews>
  <sheetFormatPr defaultRowHeight="14.4"/>
  <cols>
    <col min="1" max="1" width="25" customWidth="1"/>
    <col min="2" max="2" width="25.6640625" customWidth="1"/>
    <col min="4" max="4" width="36.6640625" customWidth="1"/>
    <col min="5" max="5" width="22.109375" customWidth="1"/>
  </cols>
  <sheetData>
    <row r="1" spans="1:8" ht="36" customHeight="1">
      <c r="A1" s="58" t="s">
        <v>1</v>
      </c>
      <c r="B1" s="50" t="s">
        <v>105</v>
      </c>
      <c r="C1" s="58" t="s">
        <v>3</v>
      </c>
      <c r="D1" s="50" t="s">
        <v>126</v>
      </c>
      <c r="E1" s="58" t="s">
        <v>127</v>
      </c>
    </row>
    <row r="2" spans="1:8" ht="19.8" customHeight="1">
      <c r="A2" s="32" t="s">
        <v>128</v>
      </c>
      <c r="B2" s="31" t="s">
        <v>52</v>
      </c>
      <c r="C2" s="31" t="s">
        <v>44</v>
      </c>
      <c r="D2" s="31" t="s">
        <v>129</v>
      </c>
      <c r="E2" s="31" t="s">
        <v>130</v>
      </c>
    </row>
    <row r="3" spans="1:8" ht="19.8" customHeight="1">
      <c r="A3" s="32" t="s">
        <v>131</v>
      </c>
      <c r="B3" s="31">
        <v>1700</v>
      </c>
      <c r="C3" s="31" t="s">
        <v>7</v>
      </c>
      <c r="D3" s="31" t="s">
        <v>132</v>
      </c>
      <c r="E3" s="31" t="s">
        <v>133</v>
      </c>
    </row>
    <row r="4" spans="1:8" ht="19.8" customHeight="1">
      <c r="A4" s="32" t="s">
        <v>134</v>
      </c>
      <c r="B4" s="31" t="s">
        <v>135</v>
      </c>
      <c r="C4" s="31" t="s">
        <v>44</v>
      </c>
      <c r="D4" s="31" t="s">
        <v>136</v>
      </c>
      <c r="E4" s="31" t="s">
        <v>137</v>
      </c>
    </row>
    <row r="5" spans="1:8" ht="19.8" customHeight="1">
      <c r="A5" s="32" t="s">
        <v>138</v>
      </c>
      <c r="B5" s="31">
        <v>4000</v>
      </c>
      <c r="C5" s="31" t="s">
        <v>5</v>
      </c>
      <c r="D5" s="31" t="s">
        <v>139</v>
      </c>
      <c r="E5" s="31" t="s">
        <v>140</v>
      </c>
    </row>
    <row r="6" spans="1:8" ht="19.8" customHeight="1">
      <c r="A6" s="32" t="s">
        <v>141</v>
      </c>
      <c r="B6" s="31">
        <v>2500</v>
      </c>
      <c r="C6" s="31" t="s">
        <v>5</v>
      </c>
      <c r="D6" s="31" t="s">
        <v>139</v>
      </c>
      <c r="E6" s="31" t="s">
        <v>142</v>
      </c>
    </row>
    <row r="7" spans="1:8" ht="19.8" customHeight="1">
      <c r="A7" s="32" t="s">
        <v>143</v>
      </c>
      <c r="B7" s="31" t="s">
        <v>144</v>
      </c>
      <c r="C7" s="31" t="s">
        <v>44</v>
      </c>
      <c r="D7" s="31" t="s">
        <v>145</v>
      </c>
      <c r="E7" s="31" t="s">
        <v>146</v>
      </c>
    </row>
    <row r="8" spans="1:8" ht="17.399999999999999" customHeight="1">
      <c r="A8" s="32" t="s">
        <v>208</v>
      </c>
      <c r="B8" s="31" t="s">
        <v>209</v>
      </c>
      <c r="C8" s="31" t="s">
        <v>44</v>
      </c>
      <c r="D8" s="31" t="s">
        <v>210</v>
      </c>
    </row>
    <row r="11" spans="1:8" ht="21.6" customHeight="1">
      <c r="A11" s="59" t="s">
        <v>147</v>
      </c>
    </row>
    <row r="12" spans="1:8">
      <c r="A12" s="60" t="s">
        <v>148</v>
      </c>
      <c r="B12" s="60"/>
      <c r="C12" s="60"/>
      <c r="D12" s="60"/>
      <c r="E12" s="60"/>
      <c r="F12" s="60"/>
      <c r="G12" s="60"/>
      <c r="H12" s="60"/>
    </row>
  </sheetData>
  <mergeCells count="1">
    <mergeCell ref="A12:H1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81921-1906-4362-9CB4-4826E5DBCB07}">
  <dimension ref="A1:D9"/>
  <sheetViews>
    <sheetView workbookViewId="0">
      <selection activeCell="D19" sqref="D19"/>
    </sheetView>
  </sheetViews>
  <sheetFormatPr defaultRowHeight="14.4"/>
  <cols>
    <col min="1" max="1" width="25.6640625" customWidth="1"/>
    <col min="2" max="2" width="29.21875" customWidth="1"/>
    <col min="4" max="4" width="29.5546875" customWidth="1"/>
  </cols>
  <sheetData>
    <row r="1" spans="1:4" ht="24" customHeight="1">
      <c r="A1" s="61" t="s">
        <v>1</v>
      </c>
      <c r="B1" s="62" t="s">
        <v>2</v>
      </c>
      <c r="C1" s="61" t="s">
        <v>3</v>
      </c>
      <c r="D1" s="62" t="s">
        <v>106</v>
      </c>
    </row>
    <row r="2" spans="1:4" ht="24" customHeight="1">
      <c r="A2" s="32" t="s">
        <v>60</v>
      </c>
      <c r="B2" s="31">
        <v>40</v>
      </c>
      <c r="C2" s="31" t="s">
        <v>61</v>
      </c>
      <c r="D2" s="31" t="s">
        <v>149</v>
      </c>
    </row>
    <row r="3" spans="1:4" ht="24" customHeight="1">
      <c r="A3" s="32" t="s">
        <v>70</v>
      </c>
      <c r="B3" s="31">
        <v>125</v>
      </c>
      <c r="C3" s="31" t="s">
        <v>61</v>
      </c>
      <c r="D3" s="31" t="s">
        <v>150</v>
      </c>
    </row>
    <row r="4" spans="1:4" ht="24" customHeight="1">
      <c r="A4" s="32" t="s">
        <v>72</v>
      </c>
      <c r="B4" s="31">
        <v>120</v>
      </c>
      <c r="C4" s="31" t="s">
        <v>61</v>
      </c>
      <c r="D4" s="31" t="s">
        <v>151</v>
      </c>
    </row>
    <row r="5" spans="1:4" ht="24" customHeight="1">
      <c r="A5" s="32" t="s">
        <v>57</v>
      </c>
      <c r="B5" s="31" t="s">
        <v>58</v>
      </c>
      <c r="C5" s="31" t="s">
        <v>44</v>
      </c>
      <c r="D5" s="31" t="s">
        <v>152</v>
      </c>
    </row>
    <row r="6" spans="1:4" ht="24" customHeight="1">
      <c r="A6" s="32" t="s">
        <v>153</v>
      </c>
      <c r="B6" s="31">
        <v>12500</v>
      </c>
      <c r="C6" s="31" t="s">
        <v>5</v>
      </c>
      <c r="D6" s="31" t="s">
        <v>154</v>
      </c>
    </row>
    <row r="7" spans="1:4" ht="24" customHeight="1">
      <c r="A7" s="32" t="s">
        <v>155</v>
      </c>
      <c r="B7" s="31">
        <v>2500</v>
      </c>
      <c r="C7" s="31" t="s">
        <v>5</v>
      </c>
      <c r="D7" s="31" t="s">
        <v>156</v>
      </c>
    </row>
    <row r="8" spans="1:4" ht="24" customHeight="1">
      <c r="A8" s="32" t="s">
        <v>157</v>
      </c>
      <c r="B8" s="31" t="s">
        <v>158</v>
      </c>
      <c r="C8" s="31" t="s">
        <v>44</v>
      </c>
      <c r="D8" s="31" t="s">
        <v>159</v>
      </c>
    </row>
    <row r="9" spans="1:4" ht="23.4" customHeight="1">
      <c r="A9" s="32" t="s">
        <v>211</v>
      </c>
      <c r="B9" s="31">
        <v>500000</v>
      </c>
      <c r="C9" s="31" t="s">
        <v>5</v>
      </c>
      <c r="D9" s="31" t="s">
        <v>212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4448-78D4-4DE0-AC6A-FD227B607690}">
  <dimension ref="A1:F10"/>
  <sheetViews>
    <sheetView workbookViewId="0">
      <selection activeCell="C14" sqref="C14"/>
    </sheetView>
  </sheetViews>
  <sheetFormatPr defaultRowHeight="14.4"/>
  <cols>
    <col min="1" max="1" width="21.77734375" customWidth="1"/>
    <col min="2" max="2" width="36.5546875" customWidth="1"/>
    <col min="3" max="3" width="29.44140625" customWidth="1"/>
    <col min="4" max="4" width="35.6640625" customWidth="1"/>
  </cols>
  <sheetData>
    <row r="1" spans="1:6" ht="21.6" customHeight="1">
      <c r="A1" s="63" t="s">
        <v>160</v>
      </c>
      <c r="B1" s="63" t="s">
        <v>161</v>
      </c>
      <c r="C1" s="63" t="s">
        <v>162</v>
      </c>
      <c r="D1" s="63" t="s">
        <v>106</v>
      </c>
    </row>
    <row r="2" spans="1:6" ht="21.6" customHeight="1">
      <c r="A2" s="32" t="s">
        <v>163</v>
      </c>
      <c r="B2" s="31" t="s">
        <v>164</v>
      </c>
      <c r="C2" s="31" t="s">
        <v>165</v>
      </c>
      <c r="D2" s="31" t="s">
        <v>166</v>
      </c>
    </row>
    <row r="3" spans="1:6" ht="21.6" customHeight="1">
      <c r="A3" s="32" t="s">
        <v>167</v>
      </c>
      <c r="B3" s="31" t="s">
        <v>168</v>
      </c>
      <c r="C3" s="31" t="s">
        <v>169</v>
      </c>
      <c r="D3" s="31" t="s">
        <v>170</v>
      </c>
    </row>
    <row r="4" spans="1:6" ht="21.6" customHeight="1">
      <c r="A4" s="32" t="s">
        <v>171</v>
      </c>
      <c r="B4" s="31" t="s">
        <v>172</v>
      </c>
      <c r="C4" s="31" t="s">
        <v>173</v>
      </c>
      <c r="D4" s="31" t="s">
        <v>174</v>
      </c>
    </row>
    <row r="5" spans="1:6" ht="21.6" customHeight="1">
      <c r="A5" s="32" t="s">
        <v>175</v>
      </c>
      <c r="B5" s="31" t="s">
        <v>176</v>
      </c>
      <c r="C5" s="31" t="s">
        <v>177</v>
      </c>
      <c r="D5" s="31" t="s">
        <v>178</v>
      </c>
    </row>
    <row r="6" spans="1:6" ht="20.399999999999999" customHeight="1">
      <c r="A6" s="32" t="s">
        <v>213</v>
      </c>
      <c r="B6" s="31" t="s">
        <v>214</v>
      </c>
      <c r="C6" s="31" t="s">
        <v>215</v>
      </c>
      <c r="D6" s="31"/>
    </row>
    <row r="9" spans="1:6">
      <c r="A9" s="65" t="s">
        <v>179</v>
      </c>
    </row>
    <row r="10" spans="1:6">
      <c r="A10" s="64" t="s">
        <v>180</v>
      </c>
      <c r="B10" s="64"/>
      <c r="C10" s="64"/>
      <c r="D10" s="64"/>
      <c r="E10" s="64"/>
      <c r="F10" s="64"/>
    </row>
  </sheetData>
  <mergeCells count="1">
    <mergeCell ref="A10:F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11615-F28A-4614-A88C-F6F99EE54A74}">
  <dimension ref="A1:D14"/>
  <sheetViews>
    <sheetView workbookViewId="0">
      <selection activeCell="C19" sqref="C19"/>
    </sheetView>
  </sheetViews>
  <sheetFormatPr defaultRowHeight="14.4"/>
  <cols>
    <col min="1" max="1" width="33.44140625" customWidth="1"/>
    <col min="2" max="2" width="27.6640625" customWidth="1"/>
    <col min="3" max="3" width="48.44140625" customWidth="1"/>
  </cols>
  <sheetData>
    <row r="1" spans="1:4" ht="22.8" customHeight="1">
      <c r="A1" s="66" t="s">
        <v>97</v>
      </c>
      <c r="B1" s="53" t="s">
        <v>62</v>
      </c>
      <c r="C1" s="66" t="s">
        <v>181</v>
      </c>
      <c r="D1" s="53" t="s">
        <v>99</v>
      </c>
    </row>
    <row r="2" spans="1:4">
      <c r="A2" s="32" t="s">
        <v>182</v>
      </c>
      <c r="B2" s="31" t="s">
        <v>183</v>
      </c>
      <c r="C2" s="31" t="s">
        <v>184</v>
      </c>
      <c r="D2" s="67" t="s">
        <v>101</v>
      </c>
    </row>
    <row r="3" spans="1:4">
      <c r="A3" s="32" t="s">
        <v>185</v>
      </c>
      <c r="B3" s="31" t="s">
        <v>186</v>
      </c>
      <c r="C3" s="31" t="s">
        <v>187</v>
      </c>
      <c r="D3" s="67" t="s">
        <v>101</v>
      </c>
    </row>
    <row r="4" spans="1:4">
      <c r="A4" s="32" t="s">
        <v>188</v>
      </c>
      <c r="B4" s="31" t="s">
        <v>189</v>
      </c>
      <c r="C4" s="31" t="s">
        <v>190</v>
      </c>
      <c r="D4" s="67" t="s">
        <v>101</v>
      </c>
    </row>
    <row r="5" spans="1:4">
      <c r="A5" s="32" t="s">
        <v>191</v>
      </c>
      <c r="B5" s="31" t="s">
        <v>64</v>
      </c>
      <c r="C5" s="46">
        <v>0.995</v>
      </c>
      <c r="D5" s="67" t="s">
        <v>101</v>
      </c>
    </row>
    <row r="6" spans="1:4">
      <c r="A6" s="32" t="s">
        <v>192</v>
      </c>
      <c r="B6" s="31" t="s">
        <v>67</v>
      </c>
      <c r="C6" s="31" t="s">
        <v>103</v>
      </c>
      <c r="D6" s="67" t="s">
        <v>101</v>
      </c>
    </row>
    <row r="7" spans="1:4">
      <c r="A7" s="32" t="s">
        <v>193</v>
      </c>
      <c r="B7" s="31" t="s">
        <v>69</v>
      </c>
      <c r="C7" s="31" t="s">
        <v>194</v>
      </c>
      <c r="D7" s="67" t="s">
        <v>101</v>
      </c>
    </row>
    <row r="8" spans="1:4">
      <c r="A8" s="32" t="s">
        <v>195</v>
      </c>
      <c r="B8" s="31" t="s">
        <v>196</v>
      </c>
      <c r="C8" s="31" t="s">
        <v>197</v>
      </c>
      <c r="D8" s="67" t="s">
        <v>101</v>
      </c>
    </row>
    <row r="9" spans="1:4">
      <c r="A9" s="32" t="s">
        <v>198</v>
      </c>
      <c r="B9" s="31" t="s">
        <v>189</v>
      </c>
      <c r="C9" s="31" t="s">
        <v>199</v>
      </c>
      <c r="D9" s="67" t="s">
        <v>101</v>
      </c>
    </row>
    <row r="10" spans="1:4">
      <c r="A10" s="32" t="s">
        <v>200</v>
      </c>
      <c r="B10" s="31" t="s">
        <v>189</v>
      </c>
      <c r="C10" s="31" t="s">
        <v>197</v>
      </c>
      <c r="D10" s="67" t="s">
        <v>101</v>
      </c>
    </row>
    <row r="11" spans="1:4">
      <c r="A11" s="32" t="s">
        <v>201</v>
      </c>
      <c r="B11" s="31" t="s">
        <v>189</v>
      </c>
      <c r="C11" s="31" t="s">
        <v>197</v>
      </c>
      <c r="D11" s="67" t="s">
        <v>101</v>
      </c>
    </row>
    <row r="12" spans="1:4">
      <c r="A12" s="32" t="s">
        <v>216</v>
      </c>
      <c r="B12" s="31" t="s">
        <v>189</v>
      </c>
      <c r="C12" s="31" t="s">
        <v>217</v>
      </c>
      <c r="D12" s="67" t="s">
        <v>101</v>
      </c>
    </row>
    <row r="13" spans="1:4">
      <c r="A13" s="32" t="s">
        <v>218</v>
      </c>
      <c r="B13" s="31" t="s">
        <v>189</v>
      </c>
      <c r="C13" s="31" t="s">
        <v>219</v>
      </c>
      <c r="D13" s="67" t="s">
        <v>101</v>
      </c>
    </row>
    <row r="14" spans="1:4">
      <c r="A14" s="32" t="s">
        <v>220</v>
      </c>
      <c r="B14" s="31" t="s">
        <v>189</v>
      </c>
      <c r="C14" s="31" t="s">
        <v>221</v>
      </c>
      <c r="D14" s="47" t="s">
        <v>222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FBA1-9F2C-4188-9097-91243CFDB78D}">
  <dimension ref="A1:B9"/>
  <sheetViews>
    <sheetView tabSelected="1" workbookViewId="0">
      <selection activeCell="C14" sqref="C14"/>
    </sheetView>
  </sheetViews>
  <sheetFormatPr defaultRowHeight="14.4"/>
  <cols>
    <col min="1" max="1" width="26.44140625" customWidth="1"/>
    <col min="2" max="2" width="43.6640625" customWidth="1"/>
    <col min="3" max="3" width="18.5546875" customWidth="1"/>
  </cols>
  <sheetData>
    <row r="1" spans="1:2" ht="27" customHeight="1">
      <c r="A1" s="52" t="s">
        <v>223</v>
      </c>
      <c r="B1" s="52" t="s">
        <v>224</v>
      </c>
    </row>
    <row r="2" spans="1:2" ht="27" customHeight="1">
      <c r="A2" s="71" t="s">
        <v>225</v>
      </c>
      <c r="B2" s="70" t="s">
        <v>226</v>
      </c>
    </row>
    <row r="3" spans="1:2" ht="27" customHeight="1">
      <c r="A3" s="71" t="s">
        <v>227</v>
      </c>
      <c r="B3" s="70" t="s">
        <v>228</v>
      </c>
    </row>
    <row r="4" spans="1:2" ht="27" customHeight="1">
      <c r="A4" s="71" t="s">
        <v>229</v>
      </c>
      <c r="B4" s="70" t="s">
        <v>230</v>
      </c>
    </row>
    <row r="5" spans="1:2" ht="27" customHeight="1">
      <c r="A5" s="71" t="s">
        <v>231</v>
      </c>
      <c r="B5" s="70" t="s">
        <v>232</v>
      </c>
    </row>
    <row r="6" spans="1:2" ht="27" customHeight="1">
      <c r="A6" s="71" t="s">
        <v>233</v>
      </c>
      <c r="B6" s="70" t="s">
        <v>234</v>
      </c>
    </row>
    <row r="7" spans="1:2" ht="27" customHeight="1">
      <c r="A7" s="71" t="s">
        <v>235</v>
      </c>
      <c r="B7" s="70" t="s">
        <v>236</v>
      </c>
    </row>
    <row r="8" spans="1:2" ht="27" customHeight="1">
      <c r="A8" s="71" t="s">
        <v>237</v>
      </c>
      <c r="B8" s="70" t="s">
        <v>238</v>
      </c>
    </row>
    <row r="9" spans="1:2" ht="27" customHeight="1">
      <c r="A9" s="71" t="s">
        <v>239</v>
      </c>
      <c r="B9" s="70" t="s">
        <v>240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1349ed-c51a-435a-8255-5a878db350e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AE384354536C4787A8543A0DFBB11B" ma:contentTypeVersion="10" ma:contentTypeDescription="Create a new document." ma:contentTypeScope="" ma:versionID="1022a0dc21405b74310b87ae03793539">
  <xsd:schema xmlns:xsd="http://www.w3.org/2001/XMLSchema" xmlns:xs="http://www.w3.org/2001/XMLSchema" xmlns:p="http://schemas.microsoft.com/office/2006/metadata/properties" xmlns:ns3="301349ed-c51a-435a-8255-5a878db350e9" targetNamespace="http://schemas.microsoft.com/office/2006/metadata/properties" ma:root="true" ma:fieldsID="dc610f19cbafaf7828a25c7e06ac6bf6" ns3:_="">
    <xsd:import namespace="301349ed-c51a-435a-8255-5a878db350e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349ed-c51a-435a-8255-5a878db350e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641656-DAF8-409B-892B-012B16E2B7F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BFD1E0-67B7-469A-BD7D-D863E2DCDC15}">
  <ds:schemaRefs>
    <ds:schemaRef ds:uri="http://purl.org/dc/elements/1.1/"/>
    <ds:schemaRef ds:uri="301349ed-c51a-435a-8255-5a878db350e9"/>
    <ds:schemaRef ds:uri="http://schemas.microsoft.com/office/2006/documentManagement/types"/>
    <ds:schemaRef ds:uri="http://schemas.microsoft.com/office/infopath/2007/PartnerControls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511FE14-63E2-4152-9A79-511E8EE9E6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349ed-c51a-435a-8255-5a878db350e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Assumptions</vt:lpstr>
      <vt:lpstr>Power_Current</vt:lpstr>
      <vt:lpstr>Loss_Breakdown</vt:lpstr>
      <vt:lpstr>Efficiency</vt:lpstr>
      <vt:lpstr>Magnetics</vt:lpstr>
      <vt:lpstr>Semiconductors</vt:lpstr>
      <vt:lpstr>Thermal_Constraints</vt:lpstr>
      <vt:lpstr>Control_Modes</vt:lpstr>
      <vt:lpstr>Requirement_Check</vt:lpstr>
      <vt:lpstr>Fault_Handling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Reinert Webb (Student)</dc:creator>
  <cp:lastModifiedBy>Reinert Webb (Student)</cp:lastModifiedBy>
  <cp:lastPrinted>2026-04-19T05:17:20Z</cp:lastPrinted>
  <dcterms:created xsi:type="dcterms:W3CDTF">2026-04-18T18:35:03Z</dcterms:created>
  <dcterms:modified xsi:type="dcterms:W3CDTF">2026-04-19T05:38:42Z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0x01010012AE384354536C4787A8543A0DFBB11B</vt:lpwstr>
  </property>
</Properties>
</file>